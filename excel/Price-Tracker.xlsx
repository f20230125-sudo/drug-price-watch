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aude-workspace\price-watch\dashboard\public\downloads\"/>
    </mc:Choice>
  </mc:AlternateContent>
  <xr:revisionPtr revIDLastSave="0" documentId="13_ncr:1_{C7D02C4F-B640-42E5-AF8C-3AA648B3FD93}" xr6:coauthVersionLast="47" xr6:coauthVersionMax="47" xr10:uidLastSave="{00000000-0000-0000-0000-000000000000}"/>
  <bookViews>
    <workbookView xWindow="1116" yWindow="1116" windowWidth="17280" windowHeight="8880" activeTab="1" xr2:uid="{00000000-000D-0000-FFFF-FFFF00000000}"/>
  </bookViews>
  <sheets>
    <sheet name="Read me" sheetId="1" r:id="rId1"/>
    <sheet name="Inputs" sheetId="2" r:id="rId2"/>
    <sheet name="Tracker" sheetId="3" r:id="rId3"/>
    <sheet name="Entry scenario" sheetId="4" r:id="rId4"/>
    <sheet name="Checks" sheetId="5" r:id="rId5"/>
    <sheet name="Products" sheetId="6" r:id="rId6"/>
    <sheet name="Class index" sheetId="7" r:id="rId7"/>
    <sheet name="Lists" sheetId="8" r:id="rId8"/>
  </sheets>
  <definedNames>
    <definedName name="BaseYear">Inputs!$C$6</definedName>
    <definedName name="c_groups">'Class index'!$B$1:$V$1</definedName>
    <definedName name="c_idx">'Class index'!$B$2:$V$15</definedName>
    <definedName name="c_years">'Class index'!$A$2:$A$15</definedName>
    <definedName name="Compare">Inputs!$C$5</definedName>
    <definedName name="EndYear">Inputs!$C$7</definedName>
    <definedName name="Keep4">Inputs!$C$10</definedName>
    <definedName name="Keep8">Inputs!$C$11</definedName>
    <definedName name="Move4">Inputs!$C$12</definedName>
    <definedName name="Move8">Inputs!$C$13</definedName>
    <definedName name="p_area">Products!$E$2:$E$1012</definedName>
    <definedName name="p_change">Products!$Z$2:$Z$1012</definedName>
    <definedName name="p_desc">Products!$C$2:$C$1012</definedName>
    <definedName name="p_family">Products!$G$2:$G$1012</definedName>
    <definedName name="p_label">Products!$A$2:$A$1012</definedName>
    <definedName name="p_latest">Products!$K$2:$K$1012</definedName>
    <definedName name="p_ndc">Products!$B$2:$B$1012</definedName>
    <definedName name="p_owner">Products!$F$2:$F$1012</definedName>
    <definedName name="p_prices">Products!$L$2:$Y$1012</definedName>
    <definedName name="p_segment">Products!$D$2:$D$1012</definedName>
    <definedName name="p_spend">Products!$I$2:$I$1012</definedName>
    <definedName name="p_unit">Products!$J$2:$J$1012</definedName>
    <definedName name="p_units">Products!$H$2:$H$1012</definedName>
    <definedName name="p_years">Products!$L$1:$Y$1</definedName>
    <definedName name="ProdRow">Inputs!$C$15</definedName>
    <definedName name="Product">Inputs!$C$4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12" i="6" l="1"/>
  <c r="Z1011" i="6"/>
  <c r="Z1010" i="6"/>
  <c r="Z1009" i="6"/>
  <c r="Z1008" i="6"/>
  <c r="Z1007" i="6"/>
  <c r="Z1006" i="6"/>
  <c r="Z1005" i="6"/>
  <c r="Z1004" i="6"/>
  <c r="Z1003" i="6"/>
  <c r="Z1002" i="6"/>
  <c r="Z1001" i="6"/>
  <c r="Z1000" i="6"/>
  <c r="Z999" i="6"/>
  <c r="Z998" i="6"/>
  <c r="Z997" i="6"/>
  <c r="Z996" i="6"/>
  <c r="Z995" i="6"/>
  <c r="Z994" i="6"/>
  <c r="Z993" i="6"/>
  <c r="Z992" i="6"/>
  <c r="Z991" i="6"/>
  <c r="Z990" i="6"/>
  <c r="Z989" i="6"/>
  <c r="Z988" i="6"/>
  <c r="Z987" i="6"/>
  <c r="Z986" i="6"/>
  <c r="Z985" i="6"/>
  <c r="Z984" i="6"/>
  <c r="Z983" i="6"/>
  <c r="Z982" i="6"/>
  <c r="Z981" i="6"/>
  <c r="Z980" i="6"/>
  <c r="Z979" i="6"/>
  <c r="Z978" i="6"/>
  <c r="Z977" i="6"/>
  <c r="Z976" i="6"/>
  <c r="Z975" i="6"/>
  <c r="Z974" i="6"/>
  <c r="Z973" i="6"/>
  <c r="Z972" i="6"/>
  <c r="Z971" i="6"/>
  <c r="Z970" i="6"/>
  <c r="Z969" i="6"/>
  <c r="Z968" i="6"/>
  <c r="Z967" i="6"/>
  <c r="Z966" i="6"/>
  <c r="Z965" i="6"/>
  <c r="Z964" i="6"/>
  <c r="Z963" i="6"/>
  <c r="Z962" i="6"/>
  <c r="Z961" i="6"/>
  <c r="Z960" i="6"/>
  <c r="Z959" i="6"/>
  <c r="Z958" i="6"/>
  <c r="Z957" i="6"/>
  <c r="Z956" i="6"/>
  <c r="Z955" i="6"/>
  <c r="Z954" i="6"/>
  <c r="Z953" i="6"/>
  <c r="Z952" i="6"/>
  <c r="Z951" i="6"/>
  <c r="Z950" i="6"/>
  <c r="Z949" i="6"/>
  <c r="Z948" i="6"/>
  <c r="Z947" i="6"/>
  <c r="Z946" i="6"/>
  <c r="Z945" i="6"/>
  <c r="Z944" i="6"/>
  <c r="Z943" i="6"/>
  <c r="Z942" i="6"/>
  <c r="Z941" i="6"/>
  <c r="Z940" i="6"/>
  <c r="Z939" i="6"/>
  <c r="Z938" i="6"/>
  <c r="Z937" i="6"/>
  <c r="Z936" i="6"/>
  <c r="Z935" i="6"/>
  <c r="Z934" i="6"/>
  <c r="Z933" i="6"/>
  <c r="Z932" i="6"/>
  <c r="Z931" i="6"/>
  <c r="Z930" i="6"/>
  <c r="Z929" i="6"/>
  <c r="Z928" i="6"/>
  <c r="Z927" i="6"/>
  <c r="Z926" i="6"/>
  <c r="Z925" i="6"/>
  <c r="Z924" i="6"/>
  <c r="Z923" i="6"/>
  <c r="Z922" i="6"/>
  <c r="Z921" i="6"/>
  <c r="Z920" i="6"/>
  <c r="Z919" i="6"/>
  <c r="Z918" i="6"/>
  <c r="Z917" i="6"/>
  <c r="Z916" i="6"/>
  <c r="Z915" i="6"/>
  <c r="Z914" i="6"/>
  <c r="Z913" i="6"/>
  <c r="Z912" i="6"/>
  <c r="Z911" i="6"/>
  <c r="Z910" i="6"/>
  <c r="Z909" i="6"/>
  <c r="Z908" i="6"/>
  <c r="Z907" i="6"/>
  <c r="Z906" i="6"/>
  <c r="Z905" i="6"/>
  <c r="Z904" i="6"/>
  <c r="Z903" i="6"/>
  <c r="Z902" i="6"/>
  <c r="Z901" i="6"/>
  <c r="Z900" i="6"/>
  <c r="Z899" i="6"/>
  <c r="Z898" i="6"/>
  <c r="Z897" i="6"/>
  <c r="Z896" i="6"/>
  <c r="Z895" i="6"/>
  <c r="Z894" i="6"/>
  <c r="Z893" i="6"/>
  <c r="Z892" i="6"/>
  <c r="Z891" i="6"/>
  <c r="Z890" i="6"/>
  <c r="Z889" i="6"/>
  <c r="Z888" i="6"/>
  <c r="Z887" i="6"/>
  <c r="Z886" i="6"/>
  <c r="Z885" i="6"/>
  <c r="Z884" i="6"/>
  <c r="Z883" i="6"/>
  <c r="Z882" i="6"/>
  <c r="Z881" i="6"/>
  <c r="Z880" i="6"/>
  <c r="Z879" i="6"/>
  <c r="Z878" i="6"/>
  <c r="Z877" i="6"/>
  <c r="Z876" i="6"/>
  <c r="Z875" i="6"/>
  <c r="Z874" i="6"/>
  <c r="Z873" i="6"/>
  <c r="Z872" i="6"/>
  <c r="Z871" i="6"/>
  <c r="Z870" i="6"/>
  <c r="Z869" i="6"/>
  <c r="Z868" i="6"/>
  <c r="Z867" i="6"/>
  <c r="Z866" i="6"/>
  <c r="Z865" i="6"/>
  <c r="Z864" i="6"/>
  <c r="Z863" i="6"/>
  <c r="Z862" i="6"/>
  <c r="Z861" i="6"/>
  <c r="Z860" i="6"/>
  <c r="Z859" i="6"/>
  <c r="Z858" i="6"/>
  <c r="Z857" i="6"/>
  <c r="Z856" i="6"/>
  <c r="Z855" i="6"/>
  <c r="Z854" i="6"/>
  <c r="Z853" i="6"/>
  <c r="Z852" i="6"/>
  <c r="Z851" i="6"/>
  <c r="Z850" i="6"/>
  <c r="Z849" i="6"/>
  <c r="Z848" i="6"/>
  <c r="Z847" i="6"/>
  <c r="Z846" i="6"/>
  <c r="Z845" i="6"/>
  <c r="Z844" i="6"/>
  <c r="Z843" i="6"/>
  <c r="Z842" i="6"/>
  <c r="Z841" i="6"/>
  <c r="Z840" i="6"/>
  <c r="Z839" i="6"/>
  <c r="Z838" i="6"/>
  <c r="Z837" i="6"/>
  <c r="Z836" i="6"/>
  <c r="Z835" i="6"/>
  <c r="Z834" i="6"/>
  <c r="Z833" i="6"/>
  <c r="Z832" i="6"/>
  <c r="Z831" i="6"/>
  <c r="Z830" i="6"/>
  <c r="Z829" i="6"/>
  <c r="Z828" i="6"/>
  <c r="Z827" i="6"/>
  <c r="Z826" i="6"/>
  <c r="Z825" i="6"/>
  <c r="Z824" i="6"/>
  <c r="Z823" i="6"/>
  <c r="Z822" i="6"/>
  <c r="Z821" i="6"/>
  <c r="Z820" i="6"/>
  <c r="Z819" i="6"/>
  <c r="Z818" i="6"/>
  <c r="Z817" i="6"/>
  <c r="Z816" i="6"/>
  <c r="Z815" i="6"/>
  <c r="Z814" i="6"/>
  <c r="Z813" i="6"/>
  <c r="Z812" i="6"/>
  <c r="Z811" i="6"/>
  <c r="Z810" i="6"/>
  <c r="Z809" i="6"/>
  <c r="Z808" i="6"/>
  <c r="Z807" i="6"/>
  <c r="Z806" i="6"/>
  <c r="Z805" i="6"/>
  <c r="Z804" i="6"/>
  <c r="Z803" i="6"/>
  <c r="Z802" i="6"/>
  <c r="Z801" i="6"/>
  <c r="Z800" i="6"/>
  <c r="Z799" i="6"/>
  <c r="Z798" i="6"/>
  <c r="Z797" i="6"/>
  <c r="Z796" i="6"/>
  <c r="Z795" i="6"/>
  <c r="Z794" i="6"/>
  <c r="Z793" i="6"/>
  <c r="Z792" i="6"/>
  <c r="Z791" i="6"/>
  <c r="Z790" i="6"/>
  <c r="Z789" i="6"/>
  <c r="Z788" i="6"/>
  <c r="Z787" i="6"/>
  <c r="Z786" i="6"/>
  <c r="Z785" i="6"/>
  <c r="Z784" i="6"/>
  <c r="Z783" i="6"/>
  <c r="Z782" i="6"/>
  <c r="Z781" i="6"/>
  <c r="Z780" i="6"/>
  <c r="Z779" i="6"/>
  <c r="Z778" i="6"/>
  <c r="Z777" i="6"/>
  <c r="Z776" i="6"/>
  <c r="Z775" i="6"/>
  <c r="Z774" i="6"/>
  <c r="Z773" i="6"/>
  <c r="Z772" i="6"/>
  <c r="Z771" i="6"/>
  <c r="Z770" i="6"/>
  <c r="Z769" i="6"/>
  <c r="Z768" i="6"/>
  <c r="Z767" i="6"/>
  <c r="Z766" i="6"/>
  <c r="Z765" i="6"/>
  <c r="Z764" i="6"/>
  <c r="Z763" i="6"/>
  <c r="Z762" i="6"/>
  <c r="Z761" i="6"/>
  <c r="Z760" i="6"/>
  <c r="Z759" i="6"/>
  <c r="Z758" i="6"/>
  <c r="Z757" i="6"/>
  <c r="Z756" i="6"/>
  <c r="Z755" i="6"/>
  <c r="Z754" i="6"/>
  <c r="Z753" i="6"/>
  <c r="Z752" i="6"/>
  <c r="Z751" i="6"/>
  <c r="Z750" i="6"/>
  <c r="Z749" i="6"/>
  <c r="Z748" i="6"/>
  <c r="Z747" i="6"/>
  <c r="Z746" i="6"/>
  <c r="Z745" i="6"/>
  <c r="Z744" i="6"/>
  <c r="Z743" i="6"/>
  <c r="Z742" i="6"/>
  <c r="Z741" i="6"/>
  <c r="Z740" i="6"/>
  <c r="Z739" i="6"/>
  <c r="Z738" i="6"/>
  <c r="Z737" i="6"/>
  <c r="Z736" i="6"/>
  <c r="Z735" i="6"/>
  <c r="Z734" i="6"/>
  <c r="Z733" i="6"/>
  <c r="Z732" i="6"/>
  <c r="Z731" i="6"/>
  <c r="Z730" i="6"/>
  <c r="Z729" i="6"/>
  <c r="Z728" i="6"/>
  <c r="Z727" i="6"/>
  <c r="Z726" i="6"/>
  <c r="Z725" i="6"/>
  <c r="Z724" i="6"/>
  <c r="Z723" i="6"/>
  <c r="Z722" i="6"/>
  <c r="Z721" i="6"/>
  <c r="Z720" i="6"/>
  <c r="Z719" i="6"/>
  <c r="Z718" i="6"/>
  <c r="Z717" i="6"/>
  <c r="Z716" i="6"/>
  <c r="Z715" i="6"/>
  <c r="Z714" i="6"/>
  <c r="Z713" i="6"/>
  <c r="Z712" i="6"/>
  <c r="Z711" i="6"/>
  <c r="Z710" i="6"/>
  <c r="Z709" i="6"/>
  <c r="Z708" i="6"/>
  <c r="Z707" i="6"/>
  <c r="Z706" i="6"/>
  <c r="Z705" i="6"/>
  <c r="Z704" i="6"/>
  <c r="Z703" i="6"/>
  <c r="Z702" i="6"/>
  <c r="Z701" i="6"/>
  <c r="Z700" i="6"/>
  <c r="Z699" i="6"/>
  <c r="Z698" i="6"/>
  <c r="Z697" i="6"/>
  <c r="Z696" i="6"/>
  <c r="Z695" i="6"/>
  <c r="Z694" i="6"/>
  <c r="Z693" i="6"/>
  <c r="Z692" i="6"/>
  <c r="Z691" i="6"/>
  <c r="Z690" i="6"/>
  <c r="Z689" i="6"/>
  <c r="Z688" i="6"/>
  <c r="Z687" i="6"/>
  <c r="Z686" i="6"/>
  <c r="Z685" i="6"/>
  <c r="Z684" i="6"/>
  <c r="Z683" i="6"/>
  <c r="Z682" i="6"/>
  <c r="Z681" i="6"/>
  <c r="Z680" i="6"/>
  <c r="Z679" i="6"/>
  <c r="Z678" i="6"/>
  <c r="Z677" i="6"/>
  <c r="Z676" i="6"/>
  <c r="Z675" i="6"/>
  <c r="Z674" i="6"/>
  <c r="Z673" i="6"/>
  <c r="Z672" i="6"/>
  <c r="Z671" i="6"/>
  <c r="Z670" i="6"/>
  <c r="Z669" i="6"/>
  <c r="Z668" i="6"/>
  <c r="Z667" i="6"/>
  <c r="Z666" i="6"/>
  <c r="Z665" i="6"/>
  <c r="Z664" i="6"/>
  <c r="Z663" i="6"/>
  <c r="Z662" i="6"/>
  <c r="Z661" i="6"/>
  <c r="Z660" i="6"/>
  <c r="Z659" i="6"/>
  <c r="Z658" i="6"/>
  <c r="Z657" i="6"/>
  <c r="Z656" i="6"/>
  <c r="Z655" i="6"/>
  <c r="Z654" i="6"/>
  <c r="Z653" i="6"/>
  <c r="Z652" i="6"/>
  <c r="Z651" i="6"/>
  <c r="Z650" i="6"/>
  <c r="Z649" i="6"/>
  <c r="Z648" i="6"/>
  <c r="Z647" i="6"/>
  <c r="Z646" i="6"/>
  <c r="Z645" i="6"/>
  <c r="Z644" i="6"/>
  <c r="Z643" i="6"/>
  <c r="Z642" i="6"/>
  <c r="Z641" i="6"/>
  <c r="Z640" i="6"/>
  <c r="Z639" i="6"/>
  <c r="Z638" i="6"/>
  <c r="Z637" i="6"/>
  <c r="Z636" i="6"/>
  <c r="Z635" i="6"/>
  <c r="Z634" i="6"/>
  <c r="Z633" i="6"/>
  <c r="Z632" i="6"/>
  <c r="Z631" i="6"/>
  <c r="Z630" i="6"/>
  <c r="Z629" i="6"/>
  <c r="Z628" i="6"/>
  <c r="Z627" i="6"/>
  <c r="Z626" i="6"/>
  <c r="Z625" i="6"/>
  <c r="Z624" i="6"/>
  <c r="Z623" i="6"/>
  <c r="Z622" i="6"/>
  <c r="Z621" i="6"/>
  <c r="Z620" i="6"/>
  <c r="Z619" i="6"/>
  <c r="Z618" i="6"/>
  <c r="Z617" i="6"/>
  <c r="Z616" i="6"/>
  <c r="Z615" i="6"/>
  <c r="Z614" i="6"/>
  <c r="Z613" i="6"/>
  <c r="Z612" i="6"/>
  <c r="Z611" i="6"/>
  <c r="Z610" i="6"/>
  <c r="Z609" i="6"/>
  <c r="Z608" i="6"/>
  <c r="Z607" i="6"/>
  <c r="Z606" i="6"/>
  <c r="Z605" i="6"/>
  <c r="Z604" i="6"/>
  <c r="Z603" i="6"/>
  <c r="Z602" i="6"/>
  <c r="Z601" i="6"/>
  <c r="Z600" i="6"/>
  <c r="Z599" i="6"/>
  <c r="Z598" i="6"/>
  <c r="Z597" i="6"/>
  <c r="Z596" i="6"/>
  <c r="Z595" i="6"/>
  <c r="Z594" i="6"/>
  <c r="Z593" i="6"/>
  <c r="Z592" i="6"/>
  <c r="Z591" i="6"/>
  <c r="Z590" i="6"/>
  <c r="Z589" i="6"/>
  <c r="Z588" i="6"/>
  <c r="Z587" i="6"/>
  <c r="Z586" i="6"/>
  <c r="Z585" i="6"/>
  <c r="Z584" i="6"/>
  <c r="Z583" i="6"/>
  <c r="Z582" i="6"/>
  <c r="Z581" i="6"/>
  <c r="Z580" i="6"/>
  <c r="Z579" i="6"/>
  <c r="Z578" i="6"/>
  <c r="Z577" i="6"/>
  <c r="Z576" i="6"/>
  <c r="Z575" i="6"/>
  <c r="Z574" i="6"/>
  <c r="Z573" i="6"/>
  <c r="Z572" i="6"/>
  <c r="Z571" i="6"/>
  <c r="Z570" i="6"/>
  <c r="Z569" i="6"/>
  <c r="Z568" i="6"/>
  <c r="Z567" i="6"/>
  <c r="Z566" i="6"/>
  <c r="Z565" i="6"/>
  <c r="Z564" i="6"/>
  <c r="Z563" i="6"/>
  <c r="Z562" i="6"/>
  <c r="Z561" i="6"/>
  <c r="Z560" i="6"/>
  <c r="Z559" i="6"/>
  <c r="Z558" i="6"/>
  <c r="Z557" i="6"/>
  <c r="Z556" i="6"/>
  <c r="Z555" i="6"/>
  <c r="Z554" i="6"/>
  <c r="Z553" i="6"/>
  <c r="Z552" i="6"/>
  <c r="Z551" i="6"/>
  <c r="Z550" i="6"/>
  <c r="Z549" i="6"/>
  <c r="Z548" i="6"/>
  <c r="Z547" i="6"/>
  <c r="Z546" i="6"/>
  <c r="Z545" i="6"/>
  <c r="Z544" i="6"/>
  <c r="Z543" i="6"/>
  <c r="Z542" i="6"/>
  <c r="Z541" i="6"/>
  <c r="Z540" i="6"/>
  <c r="Z539" i="6"/>
  <c r="Z538" i="6"/>
  <c r="Z537" i="6"/>
  <c r="Z536" i="6"/>
  <c r="Z535" i="6"/>
  <c r="Z534" i="6"/>
  <c r="Z533" i="6"/>
  <c r="Z532" i="6"/>
  <c r="Z531" i="6"/>
  <c r="Z530" i="6"/>
  <c r="Z529" i="6"/>
  <c r="Z528" i="6"/>
  <c r="Z527" i="6"/>
  <c r="Z526" i="6"/>
  <c r="Z525" i="6"/>
  <c r="Z524" i="6"/>
  <c r="Z523" i="6"/>
  <c r="Z522" i="6"/>
  <c r="Z521" i="6"/>
  <c r="Z520" i="6"/>
  <c r="Z519" i="6"/>
  <c r="Z518" i="6"/>
  <c r="Z517" i="6"/>
  <c r="Z516" i="6"/>
  <c r="Z515" i="6"/>
  <c r="Z514" i="6"/>
  <c r="Z513" i="6"/>
  <c r="Z512" i="6"/>
  <c r="Z511" i="6"/>
  <c r="Z510" i="6"/>
  <c r="Z509" i="6"/>
  <c r="Z508" i="6"/>
  <c r="Z507" i="6"/>
  <c r="Z506" i="6"/>
  <c r="Z505" i="6"/>
  <c r="Z504" i="6"/>
  <c r="Z503" i="6"/>
  <c r="Z502" i="6"/>
  <c r="Z501" i="6"/>
  <c r="Z500" i="6"/>
  <c r="Z499" i="6"/>
  <c r="Z498" i="6"/>
  <c r="Z497" i="6"/>
  <c r="Z496" i="6"/>
  <c r="Z495" i="6"/>
  <c r="Z494" i="6"/>
  <c r="Z493" i="6"/>
  <c r="Z492" i="6"/>
  <c r="Z491" i="6"/>
  <c r="Z490" i="6"/>
  <c r="Z489" i="6"/>
  <c r="Z488" i="6"/>
  <c r="Z487" i="6"/>
  <c r="Z486" i="6"/>
  <c r="Z485" i="6"/>
  <c r="Z484" i="6"/>
  <c r="Z483" i="6"/>
  <c r="Z482" i="6"/>
  <c r="Z481" i="6"/>
  <c r="Z480" i="6"/>
  <c r="Z479" i="6"/>
  <c r="Z478" i="6"/>
  <c r="Z477" i="6"/>
  <c r="Z476" i="6"/>
  <c r="Z475" i="6"/>
  <c r="Z474" i="6"/>
  <c r="Z473" i="6"/>
  <c r="Z472" i="6"/>
  <c r="Z471" i="6"/>
  <c r="Z470" i="6"/>
  <c r="Z469" i="6"/>
  <c r="Z468" i="6"/>
  <c r="Z467" i="6"/>
  <c r="Z466" i="6"/>
  <c r="Z465" i="6"/>
  <c r="Z464" i="6"/>
  <c r="Z463" i="6"/>
  <c r="Z462" i="6"/>
  <c r="Z461" i="6"/>
  <c r="Z460" i="6"/>
  <c r="Z459" i="6"/>
  <c r="Z458" i="6"/>
  <c r="Z457" i="6"/>
  <c r="Z456" i="6"/>
  <c r="Z455" i="6"/>
  <c r="Z454" i="6"/>
  <c r="Z453" i="6"/>
  <c r="Z452" i="6"/>
  <c r="Z451" i="6"/>
  <c r="Z450" i="6"/>
  <c r="Z449" i="6"/>
  <c r="Z448" i="6"/>
  <c r="Z447" i="6"/>
  <c r="Z446" i="6"/>
  <c r="Z445" i="6"/>
  <c r="Z444" i="6"/>
  <c r="Z443" i="6"/>
  <c r="Z442" i="6"/>
  <c r="Z441" i="6"/>
  <c r="Z440" i="6"/>
  <c r="Z439" i="6"/>
  <c r="Z438" i="6"/>
  <c r="Z437" i="6"/>
  <c r="Z436" i="6"/>
  <c r="Z435" i="6"/>
  <c r="Z434" i="6"/>
  <c r="Z433" i="6"/>
  <c r="Z432" i="6"/>
  <c r="Z431" i="6"/>
  <c r="Z430" i="6"/>
  <c r="Z429" i="6"/>
  <c r="Z428" i="6"/>
  <c r="Z427" i="6"/>
  <c r="Z426" i="6"/>
  <c r="Z425" i="6"/>
  <c r="Z424" i="6"/>
  <c r="Z423" i="6"/>
  <c r="Z422" i="6"/>
  <c r="Z421" i="6"/>
  <c r="Z420" i="6"/>
  <c r="Z419" i="6"/>
  <c r="Z418" i="6"/>
  <c r="Z417" i="6"/>
  <c r="Z416" i="6"/>
  <c r="Z415" i="6"/>
  <c r="Z414" i="6"/>
  <c r="Z413" i="6"/>
  <c r="Z412" i="6"/>
  <c r="Z411" i="6"/>
  <c r="Z410" i="6"/>
  <c r="Z409" i="6"/>
  <c r="Z408" i="6"/>
  <c r="Z407" i="6"/>
  <c r="Z406" i="6"/>
  <c r="Z405" i="6"/>
  <c r="Z404" i="6"/>
  <c r="Z403" i="6"/>
  <c r="Z402" i="6"/>
  <c r="Z401" i="6"/>
  <c r="Z400" i="6"/>
  <c r="Z399" i="6"/>
  <c r="Z398" i="6"/>
  <c r="Z397" i="6"/>
  <c r="Z396" i="6"/>
  <c r="Z395" i="6"/>
  <c r="Z394" i="6"/>
  <c r="Z393" i="6"/>
  <c r="Z392" i="6"/>
  <c r="Z391" i="6"/>
  <c r="Z390" i="6"/>
  <c r="Z389" i="6"/>
  <c r="Z388" i="6"/>
  <c r="Z387" i="6"/>
  <c r="Z386" i="6"/>
  <c r="Z385" i="6"/>
  <c r="Z384" i="6"/>
  <c r="Z383" i="6"/>
  <c r="Z382" i="6"/>
  <c r="Z381" i="6"/>
  <c r="Z380" i="6"/>
  <c r="Z379" i="6"/>
  <c r="Z378" i="6"/>
  <c r="Z377" i="6"/>
  <c r="Z376" i="6"/>
  <c r="Z375" i="6"/>
  <c r="Z374" i="6"/>
  <c r="Z373" i="6"/>
  <c r="Z372" i="6"/>
  <c r="Z371" i="6"/>
  <c r="Z370" i="6"/>
  <c r="Z369" i="6"/>
  <c r="Z368" i="6"/>
  <c r="Z367" i="6"/>
  <c r="Z366" i="6"/>
  <c r="Z365" i="6"/>
  <c r="Z364" i="6"/>
  <c r="Z363" i="6"/>
  <c r="Z362" i="6"/>
  <c r="Z361" i="6"/>
  <c r="Z360" i="6"/>
  <c r="Z359" i="6"/>
  <c r="Z358" i="6"/>
  <c r="Z357" i="6"/>
  <c r="Z356" i="6"/>
  <c r="Z355" i="6"/>
  <c r="Z354" i="6"/>
  <c r="Z353" i="6"/>
  <c r="Z352" i="6"/>
  <c r="Z351" i="6"/>
  <c r="Z350" i="6"/>
  <c r="Z349" i="6"/>
  <c r="Z348" i="6"/>
  <c r="Z347" i="6"/>
  <c r="Z346" i="6"/>
  <c r="Z345" i="6"/>
  <c r="Z344" i="6"/>
  <c r="Z343" i="6"/>
  <c r="Z342" i="6"/>
  <c r="Z341" i="6"/>
  <c r="Z340" i="6"/>
  <c r="Z339" i="6"/>
  <c r="Z338" i="6"/>
  <c r="Z337" i="6"/>
  <c r="Z336" i="6"/>
  <c r="Z335" i="6"/>
  <c r="Z334" i="6"/>
  <c r="Z333" i="6"/>
  <c r="Z332" i="6"/>
  <c r="Z331" i="6"/>
  <c r="Z330" i="6"/>
  <c r="Z329" i="6"/>
  <c r="Z328" i="6"/>
  <c r="Z327" i="6"/>
  <c r="Z326" i="6"/>
  <c r="Z325" i="6"/>
  <c r="Z324" i="6"/>
  <c r="Z323" i="6"/>
  <c r="Z322" i="6"/>
  <c r="Z321" i="6"/>
  <c r="Z320" i="6"/>
  <c r="Z319" i="6"/>
  <c r="Z318" i="6"/>
  <c r="Z317" i="6"/>
  <c r="Z316" i="6"/>
  <c r="Z315" i="6"/>
  <c r="Z314" i="6"/>
  <c r="Z313" i="6"/>
  <c r="Z312" i="6"/>
  <c r="Z311" i="6"/>
  <c r="Z310" i="6"/>
  <c r="Z309" i="6"/>
  <c r="Z308" i="6"/>
  <c r="Z307" i="6"/>
  <c r="Z306" i="6"/>
  <c r="Z305" i="6"/>
  <c r="Z304" i="6"/>
  <c r="Z303" i="6"/>
  <c r="Z302" i="6"/>
  <c r="Z301" i="6"/>
  <c r="Z300" i="6"/>
  <c r="Z299" i="6"/>
  <c r="Z298" i="6"/>
  <c r="Z297" i="6"/>
  <c r="Z296" i="6"/>
  <c r="Z295" i="6"/>
  <c r="Z294" i="6"/>
  <c r="Z293" i="6"/>
  <c r="Z292" i="6"/>
  <c r="Z291" i="6"/>
  <c r="Z290" i="6"/>
  <c r="Z289" i="6"/>
  <c r="Z288" i="6"/>
  <c r="Z287" i="6"/>
  <c r="Z286" i="6"/>
  <c r="Z285" i="6"/>
  <c r="Z284" i="6"/>
  <c r="Z283" i="6"/>
  <c r="Z282" i="6"/>
  <c r="Z281" i="6"/>
  <c r="Z280" i="6"/>
  <c r="Z279" i="6"/>
  <c r="Z278" i="6"/>
  <c r="Z277" i="6"/>
  <c r="Z276" i="6"/>
  <c r="Z275" i="6"/>
  <c r="Z274" i="6"/>
  <c r="Z273" i="6"/>
  <c r="Z272" i="6"/>
  <c r="Z271" i="6"/>
  <c r="Z270" i="6"/>
  <c r="Z269" i="6"/>
  <c r="Z268" i="6"/>
  <c r="Z267" i="6"/>
  <c r="Z266" i="6"/>
  <c r="Z265" i="6"/>
  <c r="Z264" i="6"/>
  <c r="Z263" i="6"/>
  <c r="Z262" i="6"/>
  <c r="Z261" i="6"/>
  <c r="Z260" i="6"/>
  <c r="Z259" i="6"/>
  <c r="Z258" i="6"/>
  <c r="Z257" i="6"/>
  <c r="Z256" i="6"/>
  <c r="Z255" i="6"/>
  <c r="Z254" i="6"/>
  <c r="Z253" i="6"/>
  <c r="Z252" i="6"/>
  <c r="Z251" i="6"/>
  <c r="Z250" i="6"/>
  <c r="Z249" i="6"/>
  <c r="Z248" i="6"/>
  <c r="Z247" i="6"/>
  <c r="Z246" i="6"/>
  <c r="Z245" i="6"/>
  <c r="Z244" i="6"/>
  <c r="Z243" i="6"/>
  <c r="Z242" i="6"/>
  <c r="Z241" i="6"/>
  <c r="Z240" i="6"/>
  <c r="Z239" i="6"/>
  <c r="Z238" i="6"/>
  <c r="Z237" i="6"/>
  <c r="Z236" i="6"/>
  <c r="Z235" i="6"/>
  <c r="Z234" i="6"/>
  <c r="Z233" i="6"/>
  <c r="Z232" i="6"/>
  <c r="Z231" i="6"/>
  <c r="Z230" i="6"/>
  <c r="Z229" i="6"/>
  <c r="Z228" i="6"/>
  <c r="Z227" i="6"/>
  <c r="Z226" i="6"/>
  <c r="Z225" i="6"/>
  <c r="Z224" i="6"/>
  <c r="Z223" i="6"/>
  <c r="Z222" i="6"/>
  <c r="Z221" i="6"/>
  <c r="Z220" i="6"/>
  <c r="Z219" i="6"/>
  <c r="Z218" i="6"/>
  <c r="Z217" i="6"/>
  <c r="Z216" i="6"/>
  <c r="Z215" i="6"/>
  <c r="Z214" i="6"/>
  <c r="Z213" i="6"/>
  <c r="Z212" i="6"/>
  <c r="Z211" i="6"/>
  <c r="Z210" i="6"/>
  <c r="Z209" i="6"/>
  <c r="Z208" i="6"/>
  <c r="Z207" i="6"/>
  <c r="Z206" i="6"/>
  <c r="Z205" i="6"/>
  <c r="Z204" i="6"/>
  <c r="Z203" i="6"/>
  <c r="Z202" i="6"/>
  <c r="Z201" i="6"/>
  <c r="Z200" i="6"/>
  <c r="Z199" i="6"/>
  <c r="Z198" i="6"/>
  <c r="Z197" i="6"/>
  <c r="Z196" i="6"/>
  <c r="Z195" i="6"/>
  <c r="Z194" i="6"/>
  <c r="Z193" i="6"/>
  <c r="Z192" i="6"/>
  <c r="Z191" i="6"/>
  <c r="Z190" i="6"/>
  <c r="Z189" i="6"/>
  <c r="Z188" i="6"/>
  <c r="Z187" i="6"/>
  <c r="Z186" i="6"/>
  <c r="Z185" i="6"/>
  <c r="Z184" i="6"/>
  <c r="Z183" i="6"/>
  <c r="Z182" i="6"/>
  <c r="Z181" i="6"/>
  <c r="Z180" i="6"/>
  <c r="Z179" i="6"/>
  <c r="Z178" i="6"/>
  <c r="Z177" i="6"/>
  <c r="Z176" i="6"/>
  <c r="Z175" i="6"/>
  <c r="Z174" i="6"/>
  <c r="Z173" i="6"/>
  <c r="Z172" i="6"/>
  <c r="Z171" i="6"/>
  <c r="Z170" i="6"/>
  <c r="Z169" i="6"/>
  <c r="Z168" i="6"/>
  <c r="Z167" i="6"/>
  <c r="Z166" i="6"/>
  <c r="Z165" i="6"/>
  <c r="Z164" i="6"/>
  <c r="Z163" i="6"/>
  <c r="Z162" i="6"/>
  <c r="Z161" i="6"/>
  <c r="Z160" i="6"/>
  <c r="Z159" i="6"/>
  <c r="Z158" i="6"/>
  <c r="Z157" i="6"/>
  <c r="Z156" i="6"/>
  <c r="Z155" i="6"/>
  <c r="Z154" i="6"/>
  <c r="Z153" i="6"/>
  <c r="Z152" i="6"/>
  <c r="Z151" i="6"/>
  <c r="Z150" i="6"/>
  <c r="Z149" i="6"/>
  <c r="Z148" i="6"/>
  <c r="Z147" i="6"/>
  <c r="Z146" i="6"/>
  <c r="Z145" i="6"/>
  <c r="Z144" i="6"/>
  <c r="Z143" i="6"/>
  <c r="Z142" i="6"/>
  <c r="Z141" i="6"/>
  <c r="Z140" i="6"/>
  <c r="Z139" i="6"/>
  <c r="Z138" i="6"/>
  <c r="Z137" i="6"/>
  <c r="Z136" i="6"/>
  <c r="Z135" i="6"/>
  <c r="Z134" i="6"/>
  <c r="Z133" i="6"/>
  <c r="Z132" i="6"/>
  <c r="Z131" i="6"/>
  <c r="Z130" i="6"/>
  <c r="Z129" i="6"/>
  <c r="Z128" i="6"/>
  <c r="Z127" i="6"/>
  <c r="Z126" i="6"/>
  <c r="Z125" i="6"/>
  <c r="Z124" i="6"/>
  <c r="Z123" i="6"/>
  <c r="Z122" i="6"/>
  <c r="Z121" i="6"/>
  <c r="Z120" i="6"/>
  <c r="Z119" i="6"/>
  <c r="Z118" i="6"/>
  <c r="Z117" i="6"/>
  <c r="Z116" i="6"/>
  <c r="Z115" i="6"/>
  <c r="Z114" i="6"/>
  <c r="Z113" i="6"/>
  <c r="Z112" i="6"/>
  <c r="Z111" i="6"/>
  <c r="Z110" i="6"/>
  <c r="Z109" i="6"/>
  <c r="Z108" i="6"/>
  <c r="Z107" i="6"/>
  <c r="Z106" i="6"/>
  <c r="Z105" i="6"/>
  <c r="Z104" i="6"/>
  <c r="Z103" i="6"/>
  <c r="Z102" i="6"/>
  <c r="Z101" i="6"/>
  <c r="Z100" i="6"/>
  <c r="Z99" i="6"/>
  <c r="Z98" i="6"/>
  <c r="Z97" i="6"/>
  <c r="Z96" i="6"/>
  <c r="Z95" i="6"/>
  <c r="Z94" i="6"/>
  <c r="Z93" i="6"/>
  <c r="Z92" i="6"/>
  <c r="Z91" i="6"/>
  <c r="Z90" i="6"/>
  <c r="Z89" i="6"/>
  <c r="Z88" i="6"/>
  <c r="Z87" i="6"/>
  <c r="Z86" i="6"/>
  <c r="Z85" i="6"/>
  <c r="Z84" i="6"/>
  <c r="Z83" i="6"/>
  <c r="Z82" i="6"/>
  <c r="Z81" i="6"/>
  <c r="Z80" i="6"/>
  <c r="Z79" i="6"/>
  <c r="Z78" i="6"/>
  <c r="Z77" i="6"/>
  <c r="Z76" i="6"/>
  <c r="Z75" i="6"/>
  <c r="Z74" i="6"/>
  <c r="Z73" i="6"/>
  <c r="Z72" i="6"/>
  <c r="Z71" i="6"/>
  <c r="Z70" i="6"/>
  <c r="Z69" i="6"/>
  <c r="Z68" i="6"/>
  <c r="Z67" i="6"/>
  <c r="Z66" i="6"/>
  <c r="Z65" i="6"/>
  <c r="Z64" i="6"/>
  <c r="Z63" i="6"/>
  <c r="Z62" i="6"/>
  <c r="Z61" i="6"/>
  <c r="Z60" i="6"/>
  <c r="Z59" i="6"/>
  <c r="Z58" i="6"/>
  <c r="Z57" i="6"/>
  <c r="Z56" i="6"/>
  <c r="Z55" i="6"/>
  <c r="Z54" i="6"/>
  <c r="Z53" i="6"/>
  <c r="Z52" i="6"/>
  <c r="Z51" i="6"/>
  <c r="Z50" i="6"/>
  <c r="Z49" i="6"/>
  <c r="Z48" i="6"/>
  <c r="Z47" i="6"/>
  <c r="Z46" i="6"/>
  <c r="Z45" i="6"/>
  <c r="Z44" i="6"/>
  <c r="Z43" i="6"/>
  <c r="Z42" i="6"/>
  <c r="Z41" i="6"/>
  <c r="Z40" i="6"/>
  <c r="Z39" i="6"/>
  <c r="Z38" i="6"/>
  <c r="Z37" i="6"/>
  <c r="Z36" i="6"/>
  <c r="Z35" i="6"/>
  <c r="Z34" i="6"/>
  <c r="Z33" i="6"/>
  <c r="Z32" i="6"/>
  <c r="Z31" i="6"/>
  <c r="Z30" i="6"/>
  <c r="Z29" i="6"/>
  <c r="Z28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Z5" i="6"/>
  <c r="B22" i="3" s="1"/>
  <c r="Z4" i="6"/>
  <c r="Z3" i="6"/>
  <c r="Z2" i="6"/>
  <c r="C10" i="5"/>
  <c r="E10" i="5" s="1"/>
  <c r="E9" i="5"/>
  <c r="C9" i="5"/>
  <c r="E6" i="5"/>
  <c r="C6" i="5"/>
  <c r="D39" i="3"/>
  <c r="D38" i="3"/>
  <c r="D37" i="3"/>
  <c r="D36" i="3"/>
  <c r="D35" i="3"/>
  <c r="E36" i="3" s="1"/>
  <c r="D34" i="3"/>
  <c r="D33" i="3"/>
  <c r="E33" i="3" s="1"/>
  <c r="D32" i="3"/>
  <c r="D31" i="3"/>
  <c r="D30" i="3"/>
  <c r="D29" i="3"/>
  <c r="D28" i="3"/>
  <c r="D27" i="3"/>
  <c r="D26" i="3"/>
  <c r="B16" i="3"/>
  <c r="C8" i="5" s="1"/>
  <c r="E8" i="5" s="1"/>
  <c r="C15" i="2"/>
  <c r="B6" i="4" s="1"/>
  <c r="E28" i="3" l="1"/>
  <c r="E29" i="3"/>
  <c r="E30" i="3"/>
  <c r="E31" i="3"/>
  <c r="E32" i="3"/>
  <c r="E27" i="3"/>
  <c r="E34" i="3"/>
  <c r="E37" i="3"/>
  <c r="E38" i="3"/>
  <c r="E39" i="3"/>
  <c r="C11" i="4"/>
  <c r="C10" i="4"/>
  <c r="C9" i="4"/>
  <c r="B26" i="3"/>
  <c r="B27" i="3"/>
  <c r="C27" i="3" s="1"/>
  <c r="B32" i="3"/>
  <c r="B39" i="3"/>
  <c r="B19" i="3"/>
  <c r="B34" i="3"/>
  <c r="C34" i="3" s="1"/>
  <c r="B28" i="3"/>
  <c r="C28" i="3" s="1"/>
  <c r="B35" i="3"/>
  <c r="C35" i="3" s="1"/>
  <c r="E35" i="3"/>
  <c r="B29" i="3"/>
  <c r="B36" i="3"/>
  <c r="B4" i="3"/>
  <c r="B5" i="3"/>
  <c r="C5" i="5"/>
  <c r="E5" i="5" s="1"/>
  <c r="B7" i="3"/>
  <c r="B30" i="3"/>
  <c r="B37" i="3"/>
  <c r="B8" i="3"/>
  <c r="B11" i="3"/>
  <c r="B6" i="3"/>
  <c r="B9" i="3"/>
  <c r="A2" i="3" s="1"/>
  <c r="B12" i="3"/>
  <c r="B31" i="3"/>
  <c r="C31" i="3" s="1"/>
  <c r="B38" i="3"/>
  <c r="C38" i="3" s="1"/>
  <c r="B21" i="3"/>
  <c r="B4" i="4"/>
  <c r="B33" i="3"/>
  <c r="B5" i="4"/>
  <c r="C37" i="3" l="1"/>
  <c r="C30" i="3"/>
  <c r="C32" i="3"/>
  <c r="E12" i="5"/>
  <c r="C29" i="3"/>
  <c r="B11" i="4"/>
  <c r="D11" i="4" s="1"/>
  <c r="B10" i="4"/>
  <c r="D10" i="4" s="1"/>
  <c r="B9" i="4"/>
  <c r="D9" i="4" s="1"/>
  <c r="C33" i="3"/>
  <c r="C7" i="5"/>
  <c r="E7" i="5" s="1"/>
  <c r="B13" i="3"/>
  <c r="B20" i="3"/>
  <c r="C36" i="3"/>
  <c r="C39" i="3"/>
  <c r="B23" i="3" l="1"/>
  <c r="B14" i="3"/>
  <c r="B17" i="3"/>
  <c r="E11" i="4"/>
  <c r="E10" i="4"/>
  <c r="E9" i="4"/>
</calcChain>
</file>

<file path=xl/sharedStrings.xml><?xml version="1.0" encoding="utf-8"?>
<sst xmlns="http://schemas.openxmlformats.org/spreadsheetml/2006/main" count="9265" uniqueCount="3615">
  <si>
    <t>Packs</t>
  </si>
  <si>
    <t>BIKTARVY 50-200-25 MG TABLET [61958250101]</t>
  </si>
  <si>
    <t>HUMIRA(CF) PEN 40 MG/0.4 ML [00074055402]</t>
  </si>
  <si>
    <t>DUPIXENT 300 MG/2 ML PEN [00024591502]</t>
  </si>
  <si>
    <t>OZEMPIC 0.25-0.5 MG/DOSE (2 MG/3 ML) PEN [00169418113]</t>
  </si>
  <si>
    <t>INVEGA SUSTENNA 234 MG/1.5 ML [50458056401]</t>
  </si>
  <si>
    <t>OZEMPIC 2 MG/DOSE (8 MG/3 ML) PEN [00169477212]</t>
  </si>
  <si>
    <t>ELIQUIS 5 MG TABLET [00003089421]</t>
  </si>
  <si>
    <t>STELARA 90 MG/ML SYRINGE [57894006103]</t>
  </si>
  <si>
    <t>JARDIANCE 25 MG TABLET [00597015330]</t>
  </si>
  <si>
    <t>OZEMPIC 1 MG/DOSE (4 MG/3 ML) PEN [00169413013]</t>
  </si>
  <si>
    <t>SKYRIZI 150 MG/ML PEN [00074210001]</t>
  </si>
  <si>
    <t>JARDIANCE 10 MG TABLET [00597015230]</t>
  </si>
  <si>
    <t>ENBREL 50 MG/ML SURECLICK [58406003204]</t>
  </si>
  <si>
    <t>COSENTYX UNOREADY 300 MG/2 ML PEN (1 PEN) [00078107068]</t>
  </si>
  <si>
    <t>WEGOVY 2.4 MG/0.75 ML PEN [00169452414]</t>
  </si>
  <si>
    <t>VRAYLAR 1.5 MG CAPSULE [61874011530]</t>
  </si>
  <si>
    <t>FARXIGA 10 MG TABLET [00310621030]</t>
  </si>
  <si>
    <t>SUBOXONE 8 MG-2 MG SL FILM [12496120803]</t>
  </si>
  <si>
    <t>NURTEC ODT 75 MG TABLET [72618300002]</t>
  </si>
  <si>
    <t>MAVYRET 100-40 MG TABLET [00074262528]</t>
  </si>
  <si>
    <t>HUMIRA(CF) PEN 80 MG/0.8 ML [00074012402]</t>
  </si>
  <si>
    <t>TRULICITY 1.5 MG/0.5 ML PEN [00002143480]</t>
  </si>
  <si>
    <t>VRAYLAR 3 MG CAPSULE [61874013030]</t>
  </si>
  <si>
    <t>DUPIXENT 300 MG/2 ML SYRINGE [00024591401]</t>
  </si>
  <si>
    <t>ABILIFY MAINTENA ER 400 MG SYR [59148007280]</t>
  </si>
  <si>
    <t>TRULICITY 0.75 MG/0.5 ML PEN [00002143380]</t>
  </si>
  <si>
    <t>RINVOQ ER 15 MG TABLET [00074230630]</t>
  </si>
  <si>
    <t>TALTZ 80 MG/ML AUTOINJECTOR [00002144511]</t>
  </si>
  <si>
    <t>WEGOVY 0.5 MG/0.5 ML PEN [00169450514]</t>
  </si>
  <si>
    <t>WEGOVY 0.25 MG/0.5 ML PEN [00169452514]</t>
  </si>
  <si>
    <t>WEGOVY 1 MG/0.5 ML PEN [00169450114]</t>
  </si>
  <si>
    <t>ZEPBOUND 5 MG/0.5 ML PEN [00002249580]</t>
  </si>
  <si>
    <t>TRULICITY 3 MG/0.5 ML PEN [00002223680]</t>
  </si>
  <si>
    <t>DESCOVY 200-25 MG TABLET [61958200201]</t>
  </si>
  <si>
    <t>COSENTYX SENSOREADY 300 MG DOSE/2 PENS (150 MG/PEN) [00078063941]</t>
  </si>
  <si>
    <t>KESIMPTA 20 MG/0.4 ML PEN [00078100768]</t>
  </si>
  <si>
    <t>SYMBICORT 160-4.5 MCG INHALER [00186037020]</t>
  </si>
  <si>
    <t>SKYRIZI 360 MG/2.4 ML ON-BODY [00074107001]</t>
  </si>
  <si>
    <t>INVEGA SUSTENNA 156 MG/ML SYRG [50458056301]</t>
  </si>
  <si>
    <t>WEGOVY 1.7 MG/0.75 ML PEN [00169451714]</t>
  </si>
  <si>
    <t>ZEPBOUND 2.5 MG/0.5 ML PEN [00002250680]</t>
  </si>
  <si>
    <t>TRULICITY 4.5 MG/0.5 ML PEN [00002318280]</t>
  </si>
  <si>
    <t>SOFOSBUVIR-VELPATASVIR 400-100 [72626270101]</t>
  </si>
  <si>
    <t>DUPIXENT 200 MG/1.14 ML PEN [00024591902]</t>
  </si>
  <si>
    <t>VIVITROL 380 MG VIAL-DILUENT [65757030001]</t>
  </si>
  <si>
    <t>OTEZLA 30 MG TABLET [55513013760]</t>
  </si>
  <si>
    <t>MOUNJARO 5 MG/0.5 ML PEN [00002149580]</t>
  </si>
  <si>
    <t>ZEPBOUND 7.5 MG/0.5 ML PEN [00002248480]</t>
  </si>
  <si>
    <t>DOVATO 50-300 MG TABLET [49702024613]</t>
  </si>
  <si>
    <t>INVEGA TRINZA 819 MG/2.63 ML [50458060901]</t>
  </si>
  <si>
    <t>TREMFYA 100 MG/ML ONE-PRESS [57894064011]</t>
  </si>
  <si>
    <t>GENVOYA TABLET [61958190101]</t>
  </si>
  <si>
    <t>VENTOLIN HFA 90 MCG INHALER [00173068220]</t>
  </si>
  <si>
    <t>CAPLYTA 42 MG CAPSULE [72060014240]</t>
  </si>
  <si>
    <t>NORDITROPIN FLEXPRO 15 MG/1.5 [00169770821]</t>
  </si>
  <si>
    <t>MOUNJARO 7.5 MG/0.5 ML PEN [00002148480]</t>
  </si>
  <si>
    <t>INGREZZA 80 MG CAPSULE [70370108001]</t>
  </si>
  <si>
    <t>TRELEGY ELLIPTA 100-62.5-25 [00173088710]</t>
  </si>
  <si>
    <t>XARELTO 20 MG TABLET [50458057930]</t>
  </si>
  <si>
    <t>SYMTUZA 800-150-200-10 MG TAB [59676080030]</t>
  </si>
  <si>
    <t>LANTUS SOLOSTAR 100 UNIT/ML [00088221905]</t>
  </si>
  <si>
    <t>TRELEGY ELLIPTA 200-62.5-25 [00173089310]</t>
  </si>
  <si>
    <t>INGREZZA 40 MG CAPSULE [70370204001]</t>
  </si>
  <si>
    <t>SPRAVATO 84 MG DOSE PACK [50458002803]</t>
  </si>
  <si>
    <t>BIMZELX 320 MG/2 ML AUTOINJECT [50474078284]</t>
  </si>
  <si>
    <t>LINZESS 145 MCG CAPSULE [00456120130]</t>
  </si>
  <si>
    <t>UBRELVY 100 MG TABLET [00023650110]</t>
  </si>
  <si>
    <t>ZEPBOUND 10 MG/0.5 ML PEN [00002247180]</t>
  </si>
  <si>
    <t>ENTRESTO 24 MG-26 MG TABLET [00078065920]</t>
  </si>
  <si>
    <t>SYMBICORT 80-4.5 MCG INHALER [00186037220]</t>
  </si>
  <si>
    <t>MOUNJARO 10 MG/0.5 ML PEN [00002147180]</t>
  </si>
  <si>
    <t>MOUNJARO 2.5 MG/0.5 ML PEN [00002150680]</t>
  </si>
  <si>
    <t>DUPIXENT 200 MG/1.14 ML SYRING [00024591801]</t>
  </si>
  <si>
    <t>CREON DR 36,000 UNIT CAPSULE [00032301613]</t>
  </si>
  <si>
    <t>TIVICAY 50 MG TABLET [49702022813]</t>
  </si>
  <si>
    <t>VYVANSE 30 MG CAPSULE [59417010310]</t>
  </si>
  <si>
    <t>NORDITROPIN FLEXPRO 10 MG/1.5 [00169770521]</t>
  </si>
  <si>
    <t>MOUNJARO 15 MG/0.5 ML PEN [00002145780]</t>
  </si>
  <si>
    <t>TRIUMEQ 600-50-300 MG TABLET [49702023113]</t>
  </si>
  <si>
    <t>HUMIRA PEN 40 MG/0.8 ML [00074433902]</t>
  </si>
  <si>
    <t>VYVANSE 40 MG CAPSULE [59417010410]</t>
  </si>
  <si>
    <t>EMGALITY 120 MG/ML PEN [00002143611]</t>
  </si>
  <si>
    <t>VRAYLAR 4.5 MG CAPSULE [61874014530]</t>
  </si>
  <si>
    <t>KISQALI 600 MG DAILY DOSE [00078087463]</t>
  </si>
  <si>
    <t>RINVOQ ER 30 MG TABLET [00074231030]</t>
  </si>
  <si>
    <t>ODEFSEY TABLET [61958210101]</t>
  </si>
  <si>
    <t>PULMOZYME 1 MG/ML AMPUL [50242010040]</t>
  </si>
  <si>
    <t>QULIPTA 60 MG TABLET [00074709430]</t>
  </si>
  <si>
    <t>JANUVIA 100 MG TABLET [00006027731]</t>
  </si>
  <si>
    <t>LINZESS 290 MCG CAPSULE [00456120230]</t>
  </si>
  <si>
    <t>HUMIRA(CF) 40 MG/0.4 ML SYRINGE [00074024302]</t>
  </si>
  <si>
    <t>RESTASIS 0.05% EYE EMULSION [00023916360]</t>
  </si>
  <si>
    <t>ZEPBOUND 15 MG/0.5 ML PEN [00002245780]</t>
  </si>
  <si>
    <t>JARDIANCE 25 MG TABLET [00597015390]</t>
  </si>
  <si>
    <t>ORENCIA CLICKJECT 125 MG/ML [00003218851]</t>
  </si>
  <si>
    <t>BIKTARVY 50-200-25 MG TABLET [61958250103]</t>
  </si>
  <si>
    <t>INSULIN LISPRO 100 UNIT/ML KWIKPEN [00002822259]</t>
  </si>
  <si>
    <t>ELIQUIS 2.5 MG TABLET [00003089321]</t>
  </si>
  <si>
    <t>VYVANSE 50 MG CAPSULE [59417010510]</t>
  </si>
  <si>
    <t>REXULTI 1 MG TABLET [59148003713]</t>
  </si>
  <si>
    <t>SPIRIVA RESPIMAT 2.5 MCG INH [00597010061]</t>
  </si>
  <si>
    <t>KISQALI 400 MG DAILY DOSE [00078086742]</t>
  </si>
  <si>
    <t>COSENTYX SENSOREADY 150 MG/ML PEN [00078063968]</t>
  </si>
  <si>
    <t>OPZELURA 1.5% CREAM [50881000705]</t>
  </si>
  <si>
    <t>MOUNJARO 12.5 MG/0.5 ML PEN [00002146080]</t>
  </si>
  <si>
    <t>VYVANSE 20 MG CAPSULE [59417010210]</t>
  </si>
  <si>
    <t>ARISTADA ER 882 MG/3.2 ML SYRN [65757040303]</t>
  </si>
  <si>
    <t>CIMZIA 2X200 MG/ML SYRINGE KIT [50474071079]</t>
  </si>
  <si>
    <t>REXULTI 2 MG TABLET [59148003813]</t>
  </si>
  <si>
    <t>FARXIGA 5 MG TABLET [00310620530]</t>
  </si>
  <si>
    <t>ENTRESTO 49 MG-51 MG TABLET [00078077720]</t>
  </si>
  <si>
    <t>ABILIFY ASIMTUFII 960 MG/3.2 ML [59148011480]</t>
  </si>
  <si>
    <t>FLUTICASONE PROPIONATE HFA 110 MCG INHALER [66993007996]</t>
  </si>
  <si>
    <t>VRAYLAR 6 MG CAPSULE [61874016030]</t>
  </si>
  <si>
    <t>LINZESS 72 MCG CAPSULE [00456120330]</t>
  </si>
  <si>
    <t>ZEPBOUND 12.5 MG/0.5 ML PEN [00002246080]</t>
  </si>
  <si>
    <t>JARDIANCE 10 MG TABLET [00597015290]</t>
  </si>
  <si>
    <t>GENOTROPIN 12 MG CARTRIDGE [00013264681]</t>
  </si>
  <si>
    <t>XELJANZ XR 11 MG TABLET [00069050130]</t>
  </si>
  <si>
    <t>FLUTICASONE PROPIONATE HFA 44 MCG INHALER [66993007896]</t>
  </si>
  <si>
    <t>AJOVY 225 MG/1.5 ML AUTOINJECT [51759020210]</t>
  </si>
  <si>
    <t>CREON DR 24,000 UNIT CAPSULE [00032263601]</t>
  </si>
  <si>
    <t>ANORO ELLIPTA 62.5-25 MCG INH [00173086910]</t>
  </si>
  <si>
    <t>RINVOQ ER 45 MG TABLET [00074104328]</t>
  </si>
  <si>
    <t>ALBUTEROL HFA 90 MCG INHALER [66993001968]</t>
  </si>
  <si>
    <t>BASAGLAR 100 UNIT/ML KWIKPEN [00002771559]</t>
  </si>
  <si>
    <t>QELBREE ER 200 MG CAPSULE [17772013330]</t>
  </si>
  <si>
    <t>BRIVIACT 100 MG TABLET [50474077066]</t>
  </si>
  <si>
    <t>VEMLIDY 25 MG TABLET [61958230101]</t>
  </si>
  <si>
    <t>SKYRIZI 150 MG/ML SYRINGE [00074105001]</t>
  </si>
  <si>
    <t>ENBREL 50 MG/ML SYRINGE [58406002104]</t>
  </si>
  <si>
    <t>HUMIRA(CF) PEN CROHN'S-UC-HS STARTER 80 MG/0.8 ML [00074012403]</t>
  </si>
  <si>
    <t>ENTRESTO 97 MG-103 MG TABLET [00078069620]</t>
  </si>
  <si>
    <t>INVEGA TRINZA 546 MG/1.75 ML [50458060801]</t>
  </si>
  <si>
    <t>VALTOCO 10 MG NASAL SPRAY [72252051005]</t>
  </si>
  <si>
    <t>BIMZELX 160 MG/ML AUTOINJECTOR [50474078185]</t>
  </si>
  <si>
    <t>ADVAIR 250-50 DISKUS [00173069600]</t>
  </si>
  <si>
    <t>CONCERTA ER 36 MG TABLET [50458058601]</t>
  </si>
  <si>
    <t>AUSTEDO 12 MG TABLET [68546017260]</t>
  </si>
  <si>
    <t>RYBELSUS 14 MG TABLET [00169431430]</t>
  </si>
  <si>
    <t>INGREZZA 60 MG CAPSULE [70370106001]</t>
  </si>
  <si>
    <t>BREZTRI AEROSPHERE 160-9-4.8 MCG [00310461612]</t>
  </si>
  <si>
    <t>SUBOXONE 12 MG-3 MG SL FILM [12496121203]</t>
  </si>
  <si>
    <t>ABILIFY MAINTENA ER 300 MG SYR [59148004580]</t>
  </si>
  <si>
    <t>JULUCA 50-25 MG TABLET [49702024213]</t>
  </si>
  <si>
    <t>AUVELITY ER 45-105 MG TABLET [81968004560]</t>
  </si>
  <si>
    <t>VYVANSE 60 MG CAPSULE [59417010610]</t>
  </si>
  <si>
    <t>XELJANZ 5 MG TABLET [00069100101]</t>
  </si>
  <si>
    <t>REPATHA 140 MG/ML SURECLICK [72511076002]</t>
  </si>
  <si>
    <t>RYBELSUS 7 MG TABLET [00169430730]</t>
  </si>
  <si>
    <t>VYVANSE 70 MG CAPSULE [59417010710]</t>
  </si>
  <si>
    <t>AIMOVIG 140 MG/ML AUTOINJECTOR [55513084301]</t>
  </si>
  <si>
    <t>TRINTELLIX 20 MG TABLET [64764075030]</t>
  </si>
  <si>
    <t>NAYZILAM 5 MG NASAL SPRAY [50474050015]</t>
  </si>
  <si>
    <t>TRADJENTA 5 MG TABLET [00597014030]</t>
  </si>
  <si>
    <t>DAPAGLIFLOZIN 10 MG TABLET [66993045730]</t>
  </si>
  <si>
    <t>SPIRIVA HANDIHALER 18 MCG CAP [00597007541]</t>
  </si>
  <si>
    <t>COMBIVENT RESPIMAT 20-100 MCG [00597002402]</t>
  </si>
  <si>
    <t>EPINEPHRINE 0.3 MG AUTO-INJECT [49502010202]</t>
  </si>
  <si>
    <t>CAPLYTA 21 MG CAPSULE [72060012140]</t>
  </si>
  <si>
    <t>STELARA 45 MG/0.5 ML SYRINGE [57894006003]</t>
  </si>
  <si>
    <t>SPRYCEL 100 MG TABLET [00003085222]</t>
  </si>
  <si>
    <t>DULERA 200 MCG-5 MCG INHALER [78206012601]</t>
  </si>
  <si>
    <t>PREZCOBIX 800 MG-150 MG TABLET [59676057530]</t>
  </si>
  <si>
    <t>SPIRIVA RESPIMAT 1.25 MCG INH [00597016061]</t>
  </si>
  <si>
    <t>INVEGA SUSTENNA 117 MG/0.75 ML [50458056201]</t>
  </si>
  <si>
    <t>REXULTI 0.5 MG TABLET [59148003613]</t>
  </si>
  <si>
    <t>ARISTADA ER 1,064 MG/3.9 ML SYR [65757040403]</t>
  </si>
  <si>
    <t>ZENPEP DR 40,000 UNIT CAPSULE [73562011401]</t>
  </si>
  <si>
    <t>XIIDRA 5% EYE DROPS [24208091112]</t>
  </si>
  <si>
    <t>ABILIFY MAINTENA ER 400 MG VL [59148024512]</t>
  </si>
  <si>
    <t>BRILINTA 90 MG TABLET [00186077760]</t>
  </si>
  <si>
    <t>UZEDY ER 125 MG/0.35 ML SYRING [51759063010]</t>
  </si>
  <si>
    <t>LO LOESTRIN FE 1-10 TABLET [00430042014]</t>
  </si>
  <si>
    <t>SLYND 4 MG TABLET [00642747001]</t>
  </si>
  <si>
    <t>INVEGA HAFYERA 1,560 MG/5 ML [50458061201]</t>
  </si>
  <si>
    <t>XCOPRI 200 MG TABLET [71699020030]</t>
  </si>
  <si>
    <t>TREMFYA 100 MG/ML SYRINGE [57894064001]</t>
  </si>
  <si>
    <t>TRINTELLIX 10 MG TABLET [64764073030]</t>
  </si>
  <si>
    <t>HUMALOG 200 UNIT/ML KWIKPEN [00002771227]</t>
  </si>
  <si>
    <t>CONCERTA ER 27 MG TABLET [50458058801]</t>
  </si>
  <si>
    <t>CONCERTA ER 54 MG TABLET [50458058701]</t>
  </si>
  <si>
    <t>FLUTICASONE PROP 50 MCG SPRAY [60505082901]</t>
  </si>
  <si>
    <t>AUSTEDO XR 36 MG TABLET [68546047456]</t>
  </si>
  <si>
    <t>REXULTI 3 MG TABLET [59148003913]</t>
  </si>
  <si>
    <t>ABILIFY MAINTENA ER 400 MG VL [59148001971]</t>
  </si>
  <si>
    <t>UBRELVY 100 MG TABLET [00023650116]</t>
  </si>
  <si>
    <t>STIOLTO RESPIMAT INHALER (60) [00597015561]</t>
  </si>
  <si>
    <t>PAXLOVID 300-100 MG DOSE PACK [00069504530]</t>
  </si>
  <si>
    <t>ENBREL 50 MG/ML MINI CARTRIDGE [58406004404]</t>
  </si>
  <si>
    <t>LIDOCAINE 5% PATCH [00603188016]</t>
  </si>
  <si>
    <t>XGEVA 120 MG/1.7 ML VIAL [55513073001]</t>
  </si>
  <si>
    <t>ZTLIDO 1.8% TOPICAL SYSTEM [69557011130]</t>
  </si>
  <si>
    <t>IBSRELA 50 MG TABLET [73154005060]</t>
  </si>
  <si>
    <t>VYVANSE 10 MG CAPSULE [59417010110]</t>
  </si>
  <si>
    <t>HUMULIN R 500 UNIT/ML KWIKPEN [00002882427]</t>
  </si>
  <si>
    <t>INSULIN ASPART FLEXPEN 100 UNIT/ML PEN [73070010315]</t>
  </si>
  <si>
    <t>BRIVIACT 10 MG/ML ORAL SOLN [50474087015]</t>
  </si>
  <si>
    <t>TRESIBA FLEXTOUCH 200 UNIT/ML [00169255013]</t>
  </si>
  <si>
    <t>TRESIBA FLEXTOUCH 100 UNIT/ML [00169266015]</t>
  </si>
  <si>
    <t>AUSTEDO XR 24 MG TABLET [68546047256]</t>
  </si>
  <si>
    <t>CONCERTA ER 18 MG TABLET [50458058501]</t>
  </si>
  <si>
    <t>UBRELVY 50 MG TABLET [00023649810]</t>
  </si>
  <si>
    <t>BRIVIACT 50 MG TABLET [50474057066]</t>
  </si>
  <si>
    <t>FLUTICASONE PROP 50 MCG SPRAY [00054327099]</t>
  </si>
  <si>
    <t>ALBUTEROL HFA 90 MCG INHALER [68180096301]</t>
  </si>
  <si>
    <t>DULERA 100 MCG-5 MCG INHALER [78206012701]</t>
  </si>
  <si>
    <t>TALTZ 80 MG/ML AUTOINJECTOR (2-PACK) [00002144527]</t>
  </si>
  <si>
    <t>BUPRENORPHINE-NALOXONE 8-2 MG SL FILM [43598058230]</t>
  </si>
  <si>
    <t>LYBALVI 10-10 MG TABLET [65757065242]</t>
  </si>
  <si>
    <t>BUPRENORPHINE-NALOXONE 8-2 MG SL FILM [47781035703]</t>
  </si>
  <si>
    <t>ADVAIR HFA 115-21 MCG INHALER [00173071620]</t>
  </si>
  <si>
    <t>ALBUTEROL HFA 90 MCG INHALER [00093317431]</t>
  </si>
  <si>
    <t>ACTEMRA ACTPEN 162 MG/0.9 ML [50242014301]</t>
  </si>
  <si>
    <t>LYBALVI 20-10 MG TABLET [65757065442]</t>
  </si>
  <si>
    <t>STEGLATRO 15 MG TABLET [00006536403]</t>
  </si>
  <si>
    <t>BAQSIMI 3 MG SPRAY TWO PACK [00548835202]</t>
  </si>
  <si>
    <t>ADVAIR HFA 230-21 MCG INHALER [00173071720]</t>
  </si>
  <si>
    <t>HUMIRA 40 MG/0.8 ML SYRINGE [00074379902]</t>
  </si>
  <si>
    <t>EPCLUSA 400 MG-100 MG TABLET [61958220101]</t>
  </si>
  <si>
    <t>ADVAIR 500-50 DISKUS [00173069700]</t>
  </si>
  <si>
    <t>XARELTO 10 MG TABLET [50458058030]</t>
  </si>
  <si>
    <t>EUCRISA 2% OINTMENT [55724021121]</t>
  </si>
  <si>
    <t>VALTOCO 15 MG NASAL SPRAY [72252051510]</t>
  </si>
  <si>
    <t>INCRUSE ELLIPTA 62.5 MCG INH [00173087310]</t>
  </si>
  <si>
    <t>JANUMET 50-1,000 MG TABLET [00006057761]</t>
  </si>
  <si>
    <t>REPATHA 140 MG/ML SURECLICK [72511039302]</t>
  </si>
  <si>
    <t>EPINEPHRINE 0.3 MG AUTO-INJECT [00093598627]</t>
  </si>
  <si>
    <t>UZEDY ER 100 MG/0.28 ML SYRING [51759052010]</t>
  </si>
  <si>
    <t>EPINEPHRINE 0.3 MG AUTO-INJECT [00115169449]</t>
  </si>
  <si>
    <t>HADLIMA(CF) PUSHTOUCH 40 MG/0.4 ML [78206018701]</t>
  </si>
  <si>
    <t>TREMFYA 200 MG/2 ML PEN [57894065102]</t>
  </si>
  <si>
    <t>RELAFEN DS 1,000 MG TABLET [15370017060]</t>
  </si>
  <si>
    <t>HUMALOG 100 UNIT/ML KWIKPEN [00002879959]</t>
  </si>
  <si>
    <t>AUSTEDO 6 MG TABLET [68546017060]</t>
  </si>
  <si>
    <t>HUMIRA(CF) 20 MG/0.2 ML SYRINGE [00074061602]</t>
  </si>
  <si>
    <t>RYBELSUS 3 MG TABLET [00169430330]</t>
  </si>
  <si>
    <t>COSENTYX (150 MG/ML) 300 MG DOSE-2 SYRINGES [00078063998]</t>
  </si>
  <si>
    <t>EBGLYSS 250 MG/2 ML PEN [00002777211]</t>
  </si>
  <si>
    <t>VTAMA 1% CREAM [81672505101]</t>
  </si>
  <si>
    <t>ZORYVE 0.3% FOAM [80610043060]</t>
  </si>
  <si>
    <t>HUMALOG 100 UNIT/ML VIAL [00002751001]</t>
  </si>
  <si>
    <t>TOUJEO MAX SOLOSTR 300 UNIT/ML [00024587102]</t>
  </si>
  <si>
    <t>VEOZAH 45 MG TABLET [00469266030]</t>
  </si>
  <si>
    <t>QELBREE ER 100 MG CAPSULE [17772013130]</t>
  </si>
  <si>
    <t>SIMPONI 50 MG/0.5 ML PEN INJEC [57894007002]</t>
  </si>
  <si>
    <t>AUSTEDO XR 48 MG TABLET [68546047656]</t>
  </si>
  <si>
    <t>AUSTEDO XR 30 MG TABLET [68546047356]</t>
  </si>
  <si>
    <t>PROLIA 60 MG/ML SYRINGE [55513071021]</t>
  </si>
  <si>
    <t>JANUVIA 50 MG TABLET [00006011231]</t>
  </si>
  <si>
    <t>VELPHORO 500 MG CHEWABLE TAB [49230064551]</t>
  </si>
  <si>
    <t>ARISTADA ER 662 MG/2.4 ML SYRN [65757040203]</t>
  </si>
  <si>
    <t>AIMOVIG 70 MG/ML AUTOINJECTOR [55513084101]</t>
  </si>
  <si>
    <t>MYRBETRIQ ER 50 MG TABLET [00469260230]</t>
  </si>
  <si>
    <t>KERENDIA 10 MG TABLET [50419054001]</t>
  </si>
  <si>
    <t>AIRSUPRA 90-80 MCG INHALER [00310908012]</t>
  </si>
  <si>
    <t>XARELTO 20 MG TABLET [50458057990]</t>
  </si>
  <si>
    <t>QELBREE ER 150 MG CAPSULE [17772013230]</t>
  </si>
  <si>
    <t>SODIUM CHLORIDE 0.9% SOLUTION [00338004904]</t>
  </si>
  <si>
    <t>TRILEPTAL 300 MG/5 ML SUSP [00078035752]</t>
  </si>
  <si>
    <t>JANUVIA 100 MG TABLET [00006027754]</t>
  </si>
  <si>
    <t>BUPRENORPHINE-NALOXONE 8-2 MG SL TABLET [00054018913]</t>
  </si>
  <si>
    <t>GEMTESA 75 MG TABLET [73336007530]</t>
  </si>
  <si>
    <t>RESTASIS 0.05% EYE EMULSION [00023916330]</t>
  </si>
  <si>
    <t>XCOPRI 100 MG TABLET [71699010030]</t>
  </si>
  <si>
    <t>INSULIN ASPART 100 UNIT/ML VL [73070010011]</t>
  </si>
  <si>
    <t>REXULTI 4 MG TABLET [59148004013]</t>
  </si>
  <si>
    <t>BUDESONIDE-FORMOTEROL 160-4.5 [00310737020]</t>
  </si>
  <si>
    <t>LYBALVI 5-10 MG TABLET [65757065142]</t>
  </si>
  <si>
    <t>GENOTROPIN 5 MG CARTRIDGE [00013262681]</t>
  </si>
  <si>
    <t>LYBALVI 15-10 MG TABLET [65757065342]</t>
  </si>
  <si>
    <t>QVAR REDIHALER 80 MCG [59310030480]</t>
  </si>
  <si>
    <t>AUSTEDO 9 MG TABLET [68546017160]</t>
  </si>
  <si>
    <t>CAPLYTA 10.5 MG CAPSULE [72060011040]</t>
  </si>
  <si>
    <t>PREMARIN VAGINAL CREAM-APPL [00046087221]</t>
  </si>
  <si>
    <t>NATROBA 0.9% TOPICAL SUSP [52246092904]</t>
  </si>
  <si>
    <t>XCOPRI 150 MG TABLET [71699015030]</t>
  </si>
  <si>
    <t>CRESEMBA 186 MG CAPSULE [00469052002]</t>
  </si>
  <si>
    <t>XULANE 150-35 MCG/DAY PATCH [00378334053]</t>
  </si>
  <si>
    <t>BUPRENORPHINE-NALOXONE 8-2 MG SL FILM [50742036430]</t>
  </si>
  <si>
    <t>ADDERALL XR 30 MG CAPSULE [54092039101]</t>
  </si>
  <si>
    <t>INSULIN LISPRO 100 UNIT/ML VL [00002773701]</t>
  </si>
  <si>
    <t>ADDERALL XR 20 MG CAPSULE [54092038701]</t>
  </si>
  <si>
    <t>MYRBETRIQ ER 25 MG TABLET [00469260130]</t>
  </si>
  <si>
    <t>LANTUS 100 UNIT/ML VIAL [00088222033]</t>
  </si>
  <si>
    <t>QUILLICHEW ER 20 MG CHEW TAB [24478007401]</t>
  </si>
  <si>
    <t>BANZEL 400 MG TABLET [62856058352]</t>
  </si>
  <si>
    <t>FLUTICASONE PROPIONATE HFA 220 MCG INHALER [66993008096]</t>
  </si>
  <si>
    <t>APTIOM 800 MG TABLET [63402020830]</t>
  </si>
  <si>
    <t>LACTATED RINGERS INJECTION [00338011704]</t>
  </si>
  <si>
    <t>AUVELITY ER 45-105 MG TABLET [81968004530]</t>
  </si>
  <si>
    <t>EPINEPHRINE 0.15 MG AUTO-INJCT [49502010102]</t>
  </si>
  <si>
    <t>QUILLIVANT XR 25 MG/5 ML SUSP [24478032204]</t>
  </si>
  <si>
    <t>COPAXONE 40 MG/ML SYRINGE [68546032512]</t>
  </si>
  <si>
    <t>CREON DR 12,000 UNIT CAPSULE [00032004770]</t>
  </si>
  <si>
    <t>ALBUTEROL HFA 90 MCG INHALER [69097014260]</t>
  </si>
  <si>
    <t>LOKELMA 10 GRAM POWDER PACKET [00310111030]</t>
  </si>
  <si>
    <t>MIEBO 100% EYE DROP [24208037705]</t>
  </si>
  <si>
    <t>SAXENDA 18 MG/3 ML PEN [00169280015]</t>
  </si>
  <si>
    <t>ACCRUFER 30 MG CAPSULE [73059000160]</t>
  </si>
  <si>
    <t>FARXIGA 10 MG TABLET [00310621090]</t>
  </si>
  <si>
    <t>SUBOXONE 4 MG-1 MG SL FILM [12496120403]</t>
  </si>
  <si>
    <t>JORNAY PM 60 MG CAPSULE [71376020303]</t>
  </si>
  <si>
    <t>EPINEPHRINE 0.15 MG AUTO-INJCT [00093598527]</t>
  </si>
  <si>
    <t>ZONISADE 100 MG/5 ML ORAL SUSP [52652800101]</t>
  </si>
  <si>
    <t>QVAR REDIHALER 40 MCG [59310030240]</t>
  </si>
  <si>
    <t>NOVOLOG 100 UNIT/ML FLEXPEN [00169633910]</t>
  </si>
  <si>
    <t>AUSTEDO XR 42 MG TABLET [68546047556]</t>
  </si>
  <si>
    <t>SYNJARDY 12.5-1,000 MG TABLET [00597016860]</t>
  </si>
  <si>
    <t>ADVAIR 100-50 DISKUS [00173069500]</t>
  </si>
  <si>
    <t>INVEGA TRINZA 410 MG/1.32 ML [50458060701]</t>
  </si>
  <si>
    <t>JORNAY PM 40 MG CAPSULE [71376020203]</t>
  </si>
  <si>
    <t>ATROVENT 17 MCG HFA INHALER [00597008717]</t>
  </si>
  <si>
    <t>HALCINONIDE 0.1% SOLUTION [74157001212]</t>
  </si>
  <si>
    <t>AZSTARYS 39.2 MG-7.8 MG CAP [65038042999]</t>
  </si>
  <si>
    <t>ORENCIA 125 MG/ML SYRINGE [00003218811]</t>
  </si>
  <si>
    <t>OXTELLAR XR 600 MG TABLET [17772012301]</t>
  </si>
  <si>
    <t>XCOPRI 50 MG TABLET [71699005030]</t>
  </si>
  <si>
    <t>QULIPTA 30 MG TABLET [00074709630]</t>
  </si>
  <si>
    <t>TALTZ 80 MG/ML AUTOINJECTOR (3-PACK) [00002144509]</t>
  </si>
  <si>
    <t>RISPERDAL CONSTA 50 MG VIAL [50458030811]</t>
  </si>
  <si>
    <t>AUSTEDO XR 12 MG TABLET [68546047156]</t>
  </si>
  <si>
    <t>ISENTRESS 400 MG TABLET [00006022761]</t>
  </si>
  <si>
    <t>MYFEMBREE 40 MG-1 MG-0.5 MG TB [72974041501]</t>
  </si>
  <si>
    <t>NUEDEXTA 20-10 MG CAPSULE [59148005316]</t>
  </si>
  <si>
    <t>INSULIN GLARGINE-YFGN U100 PEN [83257001532]</t>
  </si>
  <si>
    <t>FULPHILA 6 MG/0.6 ML SYRINGE [83257000541]</t>
  </si>
  <si>
    <t>ONFI 2.5 MG/ML SUSPENSION [67386031321]</t>
  </si>
  <si>
    <t>QUILLIVANT XR 25 MG/5 ML SUSP [24478032102]</t>
  </si>
  <si>
    <t>LIRAGLUTIDE 3-PAK 18 MG/3 ML [00480366722]</t>
  </si>
  <si>
    <t>TOUJEO SOLOSTAR 300 UNIT/ML [00024586903]</t>
  </si>
  <si>
    <t>QUILLICHEW ER 30 MG CHEW TAB [24478007501]</t>
  </si>
  <si>
    <t>DICLOFENAC SODIUM 1% GEL [43598097710]</t>
  </si>
  <si>
    <t>NALOXONE HCL 4 MG NASAL SPRAY [45802057884]</t>
  </si>
  <si>
    <t>ZORYVE 0.3% CREAM [80610013060]</t>
  </si>
  <si>
    <t>KEVZARA 200 MG/1.14 ML PEN INJ [00024592201]</t>
  </si>
  <si>
    <t>XARELTO 2.5 MG TABLET [50458057760]</t>
  </si>
  <si>
    <t>TRINTELLIX 5 MG TABLET [64764072030]</t>
  </si>
  <si>
    <t>METFORMIN HCL 625 MG TABLET [72336006430]</t>
  </si>
  <si>
    <t>INVEGA HAFYERA 1,092 MG/3.5 ML [50458061101]</t>
  </si>
  <si>
    <t>ZORYVE 0.15% CREAM [80610011560]</t>
  </si>
  <si>
    <t>INVOKANA 300 MG TABLET [50458014130]</t>
  </si>
  <si>
    <t>VALTOCO 20 MG NASAL SPRAY [72252052010]</t>
  </si>
  <si>
    <t>RUKOBIA ER 600 MG TABLET [49702025018]</t>
  </si>
  <si>
    <t>AMCINONIDE 0.1% CREAM [74157000660]</t>
  </si>
  <si>
    <t>UZEDY ER 200 MG/0.56 ML SYRING [51759085010]</t>
  </si>
  <si>
    <t>AZSTARYS 52.3 MG-10.4 MG CAP [65038056199]</t>
  </si>
  <si>
    <t>SPRAVATO 56 MG DOSE PACK [50458002802]</t>
  </si>
  <si>
    <t>JORNAY PM 80 MG CAPSULE [71376020403]</t>
  </si>
  <si>
    <t>BIMZELX 160 MG/ML AUTOINJECTOR [50474078184]</t>
  </si>
  <si>
    <t>XARELTO 15 MG TABLET [50458057830]</t>
  </si>
  <si>
    <t>FYCOMPA 0.5 MG/ML ORAL SUSP [69616029038]</t>
  </si>
  <si>
    <t>BAQSIMI 3 MG SPRAY ONE PACK [00548835101]</t>
  </si>
  <si>
    <t>GVOKE HYPOPEN 2-PK 1 MG/0.2 ML [72065012112]</t>
  </si>
  <si>
    <t>APTIOM 600 MG TABLET [63402020660]</t>
  </si>
  <si>
    <t>YUPELRI 175 MCG/3 ML SOLUTION [49502080693]</t>
  </si>
  <si>
    <t>LUPRON DEPOT 11.25 MG 3MO KIT [00074366303]</t>
  </si>
  <si>
    <t>FORTEO 560 MCG/2.24 ML PEN INJ [00002840001]</t>
  </si>
  <si>
    <t>AJOVY 225 MG/1.5 ML SYRINGE [51759020410]</t>
  </si>
  <si>
    <t>ZUBSOLV 5.7-1.4 MG TABLET SL [54123095730]</t>
  </si>
  <si>
    <t>BUDESONIDE-FORMOTEROL 80-4.5 [00310737220]</t>
  </si>
  <si>
    <t>ABILIFY ASIMTUFII 720 MG/2.4 ML [59148010280]</t>
  </si>
  <si>
    <t>STEGLATRO 5 MG TABLET [00006536303]</t>
  </si>
  <si>
    <t>COSENTYX 150 MG/ML SYRINGE [00078063997]</t>
  </si>
  <si>
    <t>AVONEX PEN 30 MCG/0.5 ML KIT (4 PACK) [59627033304]</t>
  </si>
  <si>
    <t>TWIRLA 120-30 MCG/DAY PATCH [71671010003]</t>
  </si>
  <si>
    <t>CEQUA 0.09% SOLUTION [47335050696]</t>
  </si>
  <si>
    <t>BRIVIACT 75 MG TABLET [50474067066]</t>
  </si>
  <si>
    <t>COBENFY 100 MG-20 MG CAPSULE [00003110060]</t>
  </si>
  <si>
    <t>TIOTROPIUM 18 MCG CAP-INHALER [68180096412]</t>
  </si>
  <si>
    <t>ONDANSETRON ODT 4 MG TABLET [68462015713]</t>
  </si>
  <si>
    <t>CIPROFLOX-DEXAMETH OTIC SUSP [00781618667]</t>
  </si>
  <si>
    <t>ARISTADA ER 441 MG/1.6 ML SYRN [65757040103]</t>
  </si>
  <si>
    <t>ZAFEMY 150-35 MCG/DAY PATCH [65162035803]</t>
  </si>
  <si>
    <t>NORELGESTROM-EE 150-35 MCG/DAY [70710119003]</t>
  </si>
  <si>
    <t>PIFELTRO 100 MG TABLET [00006306901]</t>
  </si>
  <si>
    <t>BANZEL 40 MG/ML SUSPENSION [62856058446]</t>
  </si>
  <si>
    <t>DICLOFENAC POT 25 MG TABLET [74157001660]</t>
  </si>
  <si>
    <t>ASPIRIN EC 81 MG TABLET [00904675180]</t>
  </si>
  <si>
    <t>EMGALITY 120 MG/ML SYRINGE [00002237711]</t>
  </si>
  <si>
    <t>JANUVIA 25 MG TABLET [00006022131]</t>
  </si>
  <si>
    <t>ZENPEP DR 25,000 UNIT CAPSULE [73562011601]</t>
  </si>
  <si>
    <t>DAPAGLIFLOZIN 5 MG TABLET [66993045630]</t>
  </si>
  <si>
    <t>FENTANYL 100 MCG/2 ML VIAL [00409909422]</t>
  </si>
  <si>
    <t>LUPRON DEPOT 3.75 MG KIT [00074364103]</t>
  </si>
  <si>
    <t>VITAMIN D2 1.25 MG(50,000 UNIT) [42806054701]</t>
  </si>
  <si>
    <t>VITAMIN D2 1.25 MG(50,000 UNIT) [64380073706]</t>
  </si>
  <si>
    <t>EMVERM 100 MG TABLET CHEW [64896066930]</t>
  </si>
  <si>
    <t>NORDITROPIN FLEXPRO 5 MG/1.5 [00169770421]</t>
  </si>
  <si>
    <t>SYNJARDY XR 12.5-1,000 MG TAB [00597030045]</t>
  </si>
  <si>
    <t>ZENPEP DR 20,000 UNIT CAPSULE [73562011201]</t>
  </si>
  <si>
    <t>VOQUEZNA 20 MG TABLET [81520020030]</t>
  </si>
  <si>
    <t>ONFI 10 MG TABLET [67386031401]</t>
  </si>
  <si>
    <t>PROLIA 60 MG/ML SYRINGE [55513071001]</t>
  </si>
  <si>
    <t>ADALIMUMAB-ADAZ(CF) PEN 40 MG/0.4 ML [61314032720]</t>
  </si>
  <si>
    <t>ABILIFY MAINTENA ER 300 MG VL [59148023212]</t>
  </si>
  <si>
    <t>TREMFYA 100 MG/ML PEN [57894064006]</t>
  </si>
  <si>
    <t>AMOX-CLAV 875-125 MG TABLET [65862050320]</t>
  </si>
  <si>
    <t>NOVOLOG 100 UNIT/ML VIAL [00169750111]</t>
  </si>
  <si>
    <t>WINLEVI 1% CREAM [47335099436]</t>
  </si>
  <si>
    <t>QUILLIVANT XR 25 MG/5 ML SUSP [24478032305]</t>
  </si>
  <si>
    <t>ADMELOG SOLOSTAR 100 UNIT/ML [00024592505]</t>
  </si>
  <si>
    <t>POLYETHYLENE GLYCOL 3350 POWD [45802086803]</t>
  </si>
  <si>
    <t>DASATINIB 100 MG TABLET [60505363103]</t>
  </si>
  <si>
    <t>MOVANTIK 25 MG TABLET [82625880201]</t>
  </si>
  <si>
    <t>ALOGLIPTIN 25 MG TABLET [45802015065]</t>
  </si>
  <si>
    <t>ALBUTEROL HFA 90 MCG INHALER [00054074287]</t>
  </si>
  <si>
    <t>DEPAKOTE DR 125 MG SPRINKLE CP [00074611413]</t>
  </si>
  <si>
    <t>ONYDA XR 0.1 MG/ML SUSPENSION [24478014803]</t>
  </si>
  <si>
    <t>DOVATO 50-300 MG TABLET [49702024633]</t>
  </si>
  <si>
    <t>DICLOFENAC SODIUM 1% GEL [69097072044]</t>
  </si>
  <si>
    <t>INVOKANA 100 MG TABLET [50458014030]</t>
  </si>
  <si>
    <t>VALTOCO 5 MG NASAL SPRAY [72252050505]</t>
  </si>
  <si>
    <t>SIMLANDI(CF) 40 MG/0.4 ML AUTOINJECTOR [51759040202]</t>
  </si>
  <si>
    <t>BREO ELLIPTA 200-25 MCG INHALR [00173088210]</t>
  </si>
  <si>
    <t>SANDOSTATIN LAR DEPOT 30 MG KT [00078082581]</t>
  </si>
  <si>
    <t>CIBINQO 100 MG TABLET [00069033530]</t>
  </si>
  <si>
    <t>COBENFY 50 MG-20 MG CAPSULE [00003005060]</t>
  </si>
  <si>
    <t>METHYLPHENIDATE ER 36 MG TAB [13811070810]</t>
  </si>
  <si>
    <t>COPAXONE 20 MG/ML SYRINGE [68546031730]</t>
  </si>
  <si>
    <t>XELJANZ 10 MG TABLET [00069100201]</t>
  </si>
  <si>
    <t>KERENDIA 20 MG TABLET [50419054101]</t>
  </si>
  <si>
    <t>CETIRIZINE HCL 1 MG/ML SOLN [00121087416]</t>
  </si>
  <si>
    <t>LIRAGLUTIDE 3-PAK 18 MG/3 ML [00143914403]</t>
  </si>
  <si>
    <t>QUILLIVANT XR 25 MG/5 ML SUSP [24478032406]</t>
  </si>
  <si>
    <t>NUVARING VAGINAL RING [78206014603]</t>
  </si>
  <si>
    <t>JENTADUETO 2.5 MG-1,000 MG TAB [00597014860]</t>
  </si>
  <si>
    <t>ELTROMBOPAG 50 MG TABLET [31722084330]</t>
  </si>
  <si>
    <t>DELSTRIGO 100-300-300 MG TAB [00006500701]</t>
  </si>
  <si>
    <t>BUPRENORPHINE-NALOXONE 8-2 MG SL FILM [00378876793]</t>
  </si>
  <si>
    <t>INSULIN LISPRO JR 100 UNIT/ML KWIKPEN [00002775205]</t>
  </si>
  <si>
    <t>ORILISSA 150 MG TABLET [00074003828]</t>
  </si>
  <si>
    <t>JORNAY PM 20 MG CAPSULE [71376020103]</t>
  </si>
  <si>
    <t>ADDERALL XR 10 MG CAPSULE [54092038301]</t>
  </si>
  <si>
    <t>ALBUTEROL HFA 90 MCG INHALER [00781729685]</t>
  </si>
  <si>
    <t>IBUPROFEN 800 MG TABLET [59651036205]</t>
  </si>
  <si>
    <t>OLUMIANT 4 MG TABLET [00002447930]</t>
  </si>
  <si>
    <t>JORNAY PM 100 MG CAPSULE [71376020503]</t>
  </si>
  <si>
    <t>BREO ELLIPTA 100-25 MCG INHALR [00173085910]</t>
  </si>
  <si>
    <t>FANAPT 12 MG TABLET [43068011202]</t>
  </si>
  <si>
    <t>ZENPEP DR 60,000 UNIT CAPSULE [73562011701]</t>
  </si>
  <si>
    <t>QELBREE ER 200 MG CAPSULE [17772013360]</t>
  </si>
  <si>
    <t>VICTOZA 3-PAK 18 MG/3 ML PEN [00169406013]</t>
  </si>
  <si>
    <t>METFORMIN HCL 750 MG TABLET [72336009530]</t>
  </si>
  <si>
    <t>KETOCONAZOLE 2% SHAMPOO [45802046564]</t>
  </si>
  <si>
    <t>DIFICID 200 MG TABLET [52015008001]</t>
  </si>
  <si>
    <t>RELAFEN DS 1,000 MG TABLET [15370017030]</t>
  </si>
  <si>
    <t>BRIVIACT 25 MG TABLET [50474047066]</t>
  </si>
  <si>
    <t>PANTOPRAZOLE SOD DR 40 MG TAB [65862056099]</t>
  </si>
  <si>
    <t>ONDANSETRON ODT 4 MG TABLET [57237007710]</t>
  </si>
  <si>
    <t>SUBOXONE 2 MG-0.5 MG SL FILM [12496120203]</t>
  </si>
  <si>
    <t>AMOXICILLIN 400 MG/5 ML SUSP [00143988701]</t>
  </si>
  <si>
    <t>PERSERIS ER 120 MG SYRINGE KIT [12496012001]</t>
  </si>
  <si>
    <t>VITAMIN D2 1.25 MG(50,000 UNIT) [69452015120]</t>
  </si>
  <si>
    <t>ONFI 20 MG TABLET [67386031501]</t>
  </si>
  <si>
    <t>CELEBREX 200 MG CAPSULE [58151008401]</t>
  </si>
  <si>
    <t>PREDNISOLONE 15 MG/5 ML SOLN [00121088508]</t>
  </si>
  <si>
    <t>ARNUITY ELLIPTA 100 MCG INH [00173087410]</t>
  </si>
  <si>
    <t>ADVAIR HFA 45-21 MCG INHALER [00173071520]</t>
  </si>
  <si>
    <t>OTEZLA 10-20-30 MG START 28 DAY [55513036955]</t>
  </si>
  <si>
    <t>OLUMIANT 2 MG TABLET [00002418230]</t>
  </si>
  <si>
    <t>BREYNA 160-4.5 MCG INHALER [00378750332]</t>
  </si>
  <si>
    <t>LACTATED RINGERS INJECTION [00264775000]</t>
  </si>
  <si>
    <t>QUILLICHEW ER 40 MG CHEW TAB [24478007601]</t>
  </si>
  <si>
    <t>TRADJENTA 5 MG TABLET [00597014090]</t>
  </si>
  <si>
    <t>ONDANSETRON HCL 4 MG/2 ML VIAL [60505613005]</t>
  </si>
  <si>
    <t>VIMPAT 200 MG TABLET [00131248035]</t>
  </si>
  <si>
    <t>AZSTARYS 26.1 MG-5.2 MG CAP [65038028699]</t>
  </si>
  <si>
    <t>OXYCONTIN ER 20 MG TABLET [59011042010]</t>
  </si>
  <si>
    <t>OMEPRAZOLE DR 40 MG CAPSULE [68462039710]</t>
  </si>
  <si>
    <t>VICTOZA 2-PAK 18 MG/3 ML PEN [00169406012]</t>
  </si>
  <si>
    <t>OSELTAMIVIR 6 MG/ML SUSPENSION [27241013909]</t>
  </si>
  <si>
    <t>NALTREXONE 50 MG TABLET [47335032688]</t>
  </si>
  <si>
    <t>LIRAGLUTIDE 2-PAK 18 MG/3 ML [00480366720]</t>
  </si>
  <si>
    <t>PENTASA 500 MG CAPSULE [54092019112]</t>
  </si>
  <si>
    <t>LIDOCAINE 5% PATCH [65162079108]</t>
  </si>
  <si>
    <t>LIDOCAINE 5% PATCH [00591352530]</t>
  </si>
  <si>
    <t>ADDERALL XR 15 MG CAPSULE [54092038501]</t>
  </si>
  <si>
    <t>ABILIFY MAINTENA ER 300 MG VL [59148001871]</t>
  </si>
  <si>
    <t>APTIOM 400 MG TABLET [63402020430]</t>
  </si>
  <si>
    <t>BRILINTA 60 MG TABLET [00186077660]</t>
  </si>
  <si>
    <t>BUPROPION HCL XL 450 MG TABLET [24979024806]</t>
  </si>
  <si>
    <t>VIMPAT 10 MG/ML SOLUTION [00131541072]</t>
  </si>
  <si>
    <t>FYCOMPA 4 MG TABLET [69616027430]</t>
  </si>
  <si>
    <t>AUSTEDO XR 18 MG TABLET [68546047956]</t>
  </si>
  <si>
    <t>MYRBETRIQ ER 50 MG TABLET [00469260290]</t>
  </si>
  <si>
    <t>FANAPT 6 MG TABLET [43068010602]</t>
  </si>
  <si>
    <t>VOQUEZNA 10 MG TABLET [81520010030]</t>
  </si>
  <si>
    <t>ELIQUIS DVT-PE TREATMENT 30-DAY STARTER 5 MG PACK [00003376474]</t>
  </si>
  <si>
    <t>REXULTI 0.25 MG TABLET [59148003513]</t>
  </si>
  <si>
    <t>COBENFY 125 MG-30 MG CAPSULE [00003012560]</t>
  </si>
  <si>
    <t>FYCOMPA 6 MG TABLET [69616027630]</t>
  </si>
  <si>
    <t>LUMIGAN 0.01% EYE DROPS [00023320503]</t>
  </si>
  <si>
    <t>AJOVY 225 MG/1.5 ML AUTOINJECTOR (3 PACK) [51759020222]</t>
  </si>
  <si>
    <t>FLUTICASONE-SALMETEROL 115-21 [66993008796]</t>
  </si>
  <si>
    <t>DOCUSATE SODIUM 100 MG SOFTGEL [00904728080]</t>
  </si>
  <si>
    <t>MONTELUKAST SOD 10 MG TABLET [31722072610]</t>
  </si>
  <si>
    <t>ZUBSOLV 8.6-2.1 MG TABLET SL [54123098630]</t>
  </si>
  <si>
    <t>NALOXONE HCL 4 MG NASAL SPRAY [00480347868]</t>
  </si>
  <si>
    <t>AMOXICILLIN 400 MG/5 ML SUSP [00143988775]</t>
  </si>
  <si>
    <t>HUMULIN 70/30 KWIKPEN [00002880359]</t>
  </si>
  <si>
    <t>DESCOVY 200-25 MG TABLET [61958200202]</t>
  </si>
  <si>
    <t>REPATHA 140 MG/ML SYRINGE [72511050101]</t>
  </si>
  <si>
    <t>ALBUTEROL SUL 2.5 MG/3 ML SOLN [00378827052]</t>
  </si>
  <si>
    <t>BUPRENORPHINE 8 MG TABLET SL [00054017713]</t>
  </si>
  <si>
    <t>STRIBILD TABLET [61958120101]</t>
  </si>
  <si>
    <t>FLUTICASONE-VILANTEROL 100-25 [66993013597]</t>
  </si>
  <si>
    <t>LACTATED RINGERS INJECTION [00990795309]</t>
  </si>
  <si>
    <t>INVEGA SUSTENNA 78 MG/0.5 ML [50458056101]</t>
  </si>
  <si>
    <t>COMPLERA TABLET [61958110101]</t>
  </si>
  <si>
    <t>XIIDRA 5% EYE DROPS [00078091112]</t>
  </si>
  <si>
    <t>ENTRESTO 24 MG-26 MG TABLET [00078065967]</t>
  </si>
  <si>
    <t>BREYNA 80-4.5 MCG INHALER [00378750232]</t>
  </si>
  <si>
    <t>KEPPRA 100 MG/ML ORAL SOLN [50474000148]</t>
  </si>
  <si>
    <t>JANUMET 50-500 MG TABLET [00006057561]</t>
  </si>
  <si>
    <t>IBUPROFEN 600 MG TABLET [59651036105]</t>
  </si>
  <si>
    <t>DYANAVEL XR 2.5 MG/ML SUSP [24478010201]</t>
  </si>
  <si>
    <t>FYCOMPA 8 MG TABLET [69616027830]</t>
  </si>
  <si>
    <t>FLUTICASONE-VILANTEROL 200-25 [66993013697]</t>
  </si>
  <si>
    <t>AVONEX 30 MCG/0.5 ML SYRINGE KIT (4 PACK) [59627022205]</t>
  </si>
  <si>
    <t>DIPHENHYDRAMINE 50 MG/ML VIAL [00641037625]</t>
  </si>
  <si>
    <t>BIKTARVY 30-120-15 MG TABLET [61958250501]</t>
  </si>
  <si>
    <t>ETONOGESTREL-EE VAGINAL RING [66993060536]</t>
  </si>
  <si>
    <t>CLEMASTINE 0.5 MG/5 ML SYRUP [64950032412]</t>
  </si>
  <si>
    <t>CEPHALEXIN 500 MG CAPSULE [00093314705]</t>
  </si>
  <si>
    <t>BUDESONIDE 0.5 MG/2 ML SUSP [00093681673]</t>
  </si>
  <si>
    <t>COMBIGAN 0.2%-0.5% EYE DROPS [00023921105]</t>
  </si>
  <si>
    <t>KEPPRA 1,000 MG TABLET [50474059766]</t>
  </si>
  <si>
    <t>METHYLPHENIDATE ER 54 MG TAB [13811070910]</t>
  </si>
  <si>
    <t>BACLOFEN 25 MG/5 ML SUSPENSION [52536060011]</t>
  </si>
  <si>
    <t>SYNJARDY XR 25-1,000 MG TABLET [00597029588]</t>
  </si>
  <si>
    <t>VYVANSE 20 MG CHEWABLE TABLET [59417011601]</t>
  </si>
  <si>
    <t>METHYLPHENIDATE ER 27 MG TAB [13811070710]</t>
  </si>
  <si>
    <t>TADLIQ 20 MG/5 ML SUSPENSION [46287004515]</t>
  </si>
  <si>
    <t>ONDANSETRON ODT 4 MG TABLET [65862039010]</t>
  </si>
  <si>
    <t>CLINDAMYCIN PHOSPHATE 1% GEL [73473030275]</t>
  </si>
  <si>
    <t>VITAFOL ULTRA SOFTGEL [00642009330]</t>
  </si>
  <si>
    <t>METHYLPHENIDATE ER 18 MG TAB [13811070610]</t>
  </si>
  <si>
    <t>NUPLAZID 34 MG CAPSULE [63090034030]</t>
  </si>
  <si>
    <t>ELMIRON 100 MG CAPSULE [50458009801]</t>
  </si>
  <si>
    <t>METHYLPREDNISOLONE 4 MG DOSEPK [42806040021]</t>
  </si>
  <si>
    <t>BUPRENORPHINE-NALOXONE 8-2 MG SL TABLET [00406802003]</t>
  </si>
  <si>
    <t>WATER FOR INJECTION VIAL [00409488710]</t>
  </si>
  <si>
    <t>TROKENDI XR 200 MG CAPSULE [17772010430]</t>
  </si>
  <si>
    <t>EUCRISA 2% OINTMENT [55724021111]</t>
  </si>
  <si>
    <t>LOKELMA 5 GRAM POWDER PACKET [00310110530]</t>
  </si>
  <si>
    <t>DULOXETINE HCL DR 60 MG CAP [27241009990]</t>
  </si>
  <si>
    <t>OMEPRAZOLE DR 20 MG CAPSULE [55111064410]</t>
  </si>
  <si>
    <t>XIGDUO XR 10 MG-1,000 MG TAB [00310628030]</t>
  </si>
  <si>
    <t>DEXAMETHASONE 4 MG/ML VIAL [63323016501]</t>
  </si>
  <si>
    <t>DEXILANT DR 60 MG CAPSULE [64764017530]</t>
  </si>
  <si>
    <t>ADDERALL XR 25 MG CAPSULE [54092038901]</t>
  </si>
  <si>
    <t>XIGDUO XR 5 MG-1,000 MG TABLET [00310626060]</t>
  </si>
  <si>
    <t>JANUVIA 50 MG TABLET [00006011254]</t>
  </si>
  <si>
    <t>UZEDY ER 75 MG/0.21 ML SYRINGE [51759041010]</t>
  </si>
  <si>
    <t>MUPIROCIN 2% OINTMENT [00093101042]</t>
  </si>
  <si>
    <t>MULTAQ 400 MG TABLET [00024414260]</t>
  </si>
  <si>
    <t>LAMICTAL XR 200 MG TABLET [00173075700]</t>
  </si>
  <si>
    <t>VELTASSA 8.4 GM POWDER PACKET [53436008430]</t>
  </si>
  <si>
    <t>SUNOSI 150 MG TABLET [81968035101]</t>
  </si>
  <si>
    <t>ADMELOG 100 UNIT/ML VIAL [00024592410]</t>
  </si>
  <si>
    <t>OXCARBAZEPINE ER 600 MG TABLET [60505413007]</t>
  </si>
  <si>
    <t>BETASERON 0.3 MG KIT [50419052435]</t>
  </si>
  <si>
    <t>FIASP 100 UNIT/ML VIAL [00169320111]</t>
  </si>
  <si>
    <t>MIRABEGRON ER 50 MG TABLET [70710116003]</t>
  </si>
  <si>
    <t>LYRICA 150 MG CAPSULE [58151024077]</t>
  </si>
  <si>
    <t>SIKLOS 1,000 MG TABLET [71770012030]</t>
  </si>
  <si>
    <t>OXYCONTIN ER 30 MG TABLET [59011043010]</t>
  </si>
  <si>
    <t>BUPRENORPHINE-NALOXONE 8-2 MG SL TABLET [00121203630]</t>
  </si>
  <si>
    <t>FIASP 100 UNIT/ML FLEXTOUCH [00169320415]</t>
  </si>
  <si>
    <t>CHLORHEXIDINE 0.12% RINSE [00116200116]</t>
  </si>
  <si>
    <t>SANDOSTATIN LAR DEPOT 20 MG KT [00078081881]</t>
  </si>
  <si>
    <t>XHANCE 93 MCG EXHALATION DELIVERY NASAL SPRAY [71143037501]</t>
  </si>
  <si>
    <t>KATERZIA 1 MG/ML SUSPENSION [52652500101]</t>
  </si>
  <si>
    <t>MIRABEGRON ER 25 MG TABLET [70710115903]</t>
  </si>
  <si>
    <t>GLUCAGON 1 MG EMERGENCY KIT [00548585000]</t>
  </si>
  <si>
    <t>REBIF REBIDOSE 44 MCG/0.5 ML [44087334401]</t>
  </si>
  <si>
    <t>NEXTSTELLIS 3-14.2 MG TABLET [51862025801]</t>
  </si>
  <si>
    <t>PREDNISOLONE 15 MG/5 ML SOLN [00121075908]</t>
  </si>
  <si>
    <t>PULMICORT 90 MCG FLEXHALER [61269050906]</t>
  </si>
  <si>
    <t>ROCKLATAN 0.02%-0.005% EYE DRP [70727052925]</t>
  </si>
  <si>
    <t>FANAPT 8 MG TABLET [43068010802]</t>
  </si>
  <si>
    <t>AMOXICILLIN 500 MG CAPSULE [65862001705]</t>
  </si>
  <si>
    <t>BUTRANS 20 MCG/HR PATCH [59011075204]</t>
  </si>
  <si>
    <t>CETIRIZINE HCL 10 MG TABLET [43598081115]</t>
  </si>
  <si>
    <t>NEXIUM DR 20 MG PACKET [00186402001]</t>
  </si>
  <si>
    <t>BUDESONIDE 0.5 MG/2 ML SUSP [00487970130]</t>
  </si>
  <si>
    <t>SEMGLEE (YFGN) 100 UNIT/ML PEN [83257001233]</t>
  </si>
  <si>
    <t>PULMICORT 180 MCG FLEXHALER [61269051812]</t>
  </si>
  <si>
    <t>OXYCONTIN ER 10 MG TABLET [59011041010]</t>
  </si>
  <si>
    <t>CIPROFLOX-DEXAMETH OTIC SUSP [43598032675]</t>
  </si>
  <si>
    <t>BUPRENORPHINE-NALOXONE 8-2 MG SL TABLET [62175045832]</t>
  </si>
  <si>
    <t>DOXEPIN 5% CREAM [69238173306]</t>
  </si>
  <si>
    <t>BELSOMRA 20 MG TABLET [00006033530]</t>
  </si>
  <si>
    <t>OMEPRAZOLE DR 20 MG CAPSULE [68462039610]</t>
  </si>
  <si>
    <t>MAVYRET 100-40 MG TABLET [00074262584]</t>
  </si>
  <si>
    <t>PROVIGIL 200 MG TABLET [63459020130]</t>
  </si>
  <si>
    <t>CETIRIZINE HCL 10 MG TABLET [16571040250]</t>
  </si>
  <si>
    <t>BUDESONIDE 1 MG/2 ML INH SUSP [00093681773]</t>
  </si>
  <si>
    <t>PRENATE MINI SOFTGEL [75854031530]</t>
  </si>
  <si>
    <t>FLUTICASONE-SALMETEROL 250-50 [00054032756]</t>
  </si>
  <si>
    <t>OMEPRAZOLE DR 20 MG CAPSULE [70700015010]</t>
  </si>
  <si>
    <t>UMECLIDINIUM-VILANTEROL ELLIPTA 62.5-25 MCG INH [66993013497]</t>
  </si>
  <si>
    <t>REFRESH TEARS 0.5% EYE DROP [00023079815]</t>
  </si>
  <si>
    <t>DEXTROAMP-AMPHETAMIN 20 MG TAB [00555097302]</t>
  </si>
  <si>
    <t>MOTEGRITY 2 MG TABLET [54092054701]</t>
  </si>
  <si>
    <t>AMBRISENTAN 10 MG TABLET [69097038702]</t>
  </si>
  <si>
    <t>IBUPROFEN 600 MG TABLET [64380080807]</t>
  </si>
  <si>
    <t>AMOXICILLIN 400 MG/5 ML SUSP [65862007101]</t>
  </si>
  <si>
    <t>RISPERDAL CONSTA 37.5 MG VIAL [50458030711]</t>
  </si>
  <si>
    <t>NEOMYCIN-POLYMYXIN-HC EAR SOLN [24208063110]</t>
  </si>
  <si>
    <t>EMTRICITABINE-TENOFOVIR DISOPROXIL FUMARATE 200-300 MG TAB [42385095330]</t>
  </si>
  <si>
    <t>DULERA 50 MCG-5 MCG INHALER [78206012501]</t>
  </si>
  <si>
    <t>AZELASTINE 0.1% (137 MCG) SPRY [59651021430]</t>
  </si>
  <si>
    <t>ERYTHROMYCIN 0.5% EYE OINTMENT [24208091055]</t>
  </si>
  <si>
    <t>XROMI 100 MG/ML SOLUTION [62484001505]</t>
  </si>
  <si>
    <t>ARNUITY ELLIPTA 200 MCG INH [00173087610]</t>
  </si>
  <si>
    <t>BELBUCA 900 MCG FILM [59385002760]</t>
  </si>
  <si>
    <t>ENBREL 25 MG/0.5 ML SYRINGE [58406001004]</t>
  </si>
  <si>
    <t>IBUPROFEN 800 MG TABLET [64380080707]</t>
  </si>
  <si>
    <t>NEXIUM DR 10 MG PACKET [00186401001]</t>
  </si>
  <si>
    <t>TRIJARDY XR 12.5-2.5-1,000 MG [00597038577]</t>
  </si>
  <si>
    <t>RHOPRESSA 0.02% OPHTH SOLUTION [70727049725]</t>
  </si>
  <si>
    <t>XCOPRI 25 MG TABLET [71699002530]</t>
  </si>
  <si>
    <t>PRALUENT 75 MG/ML PEN [61755002002]</t>
  </si>
  <si>
    <t>FENTANYL 100 MCG/2 ML VIAL [00641602725]</t>
  </si>
  <si>
    <t>FOLIC ACID 1 MG TABLET [11534016503]</t>
  </si>
  <si>
    <t>LIDOCAINE PAIN RELIEF 4% PATCH [00536120207]</t>
  </si>
  <si>
    <t>IBUPROFEN 100 MG/5 ML SUSP [59651003247]</t>
  </si>
  <si>
    <t>CREON DR 6,000 UNIT CAPSULE [00032004670]</t>
  </si>
  <si>
    <t>NEUPOGEN 300 MCG/ML VIAL [55513053010]</t>
  </si>
  <si>
    <t>JANUMET XR 50-1,000 MG TABLET [00006008061]</t>
  </si>
  <si>
    <t>AURYXIA 210 MG TABLET [59922063101]</t>
  </si>
  <si>
    <t>FANAPT 10 MG TABLET [43068011002]</t>
  </si>
  <si>
    <t>CATHFLO ACTIVASE 2 MG VIAL [50242004164]</t>
  </si>
  <si>
    <t>IBUPROFEN 100 MG/5 ML SUSP [59651003212]</t>
  </si>
  <si>
    <t>VYVANSE 10 MG CHEWABLE TABLET [59417011501]</t>
  </si>
  <si>
    <t>NEXLIZET 180-10 MG TABLET [72426081803]</t>
  </si>
  <si>
    <t>VIBERZI 100 MG TABLET [61874010060]</t>
  </si>
  <si>
    <t>OXYCONTIN ER 40 MG TABLET [59011044010]</t>
  </si>
  <si>
    <t>ALBUTEROL HFA 90 MCG INHALER [17270074000]</t>
  </si>
  <si>
    <t>MIRABEGRON ER 50 MG TABLET [68180015206]</t>
  </si>
  <si>
    <t>LISINOPRIL 10 MG TABLET [68180098003]</t>
  </si>
  <si>
    <t>AUVI-Q 0.3 MG AUTO-INJECTOR [60842002302]</t>
  </si>
  <si>
    <t>ZAVZPRET 10 MG NASAL SPRAY [00069350002]</t>
  </si>
  <si>
    <t>MEDROXYPROGESTERONE 150 MG/ML [66993037179]</t>
  </si>
  <si>
    <t>SYNJARDY 5-1,000 MG TABLET [00597017560]</t>
  </si>
  <si>
    <t>EMGALITY 300 MG DOSE (100 MG/ML X 3 SYRINGES) [00002311509]</t>
  </si>
  <si>
    <t>ONDANSETRON HCL 4 MG/2 ML VIAL [00409475503]</t>
  </si>
  <si>
    <t>GABAPENTIN 300 MG CAPSULE [50228018010]</t>
  </si>
  <si>
    <t>KEPPRA 500 MG TABLET [50474059540]</t>
  </si>
  <si>
    <t>DICLEGIS DR 10-10 MG TABLET [55494010010]</t>
  </si>
  <si>
    <t>SERTRALINE HCL 100 MG TABLET [65862001305]</t>
  </si>
  <si>
    <t>LISINOPRIL 20 MG TABLET [68180098103]</t>
  </si>
  <si>
    <t>HUMALOG JR 100 UNIT/ML KWIKPEN [00002771459]</t>
  </si>
  <si>
    <t>LAMICTAL 200 MG TABLET [00173064460]</t>
  </si>
  <si>
    <t>VYVANSE 30 MG CHEWABLE TABLET [59417011701]</t>
  </si>
  <si>
    <t>FYCOMPA 12 MG TABLET [69616028230]</t>
  </si>
  <si>
    <t>HYDROXYZINE 10 MG/5 ML SYRUP [54838050280]</t>
  </si>
  <si>
    <t>ACETAMINOPHEN 325 MG TABLET [00536132710]</t>
  </si>
  <si>
    <t>TAMSULOSIN HCL 0.4 MG CAPSULE [65862059805]</t>
  </si>
  <si>
    <t>LUPRON DEPOT 7.5 MG 1 MONTH KT [00074364203]</t>
  </si>
  <si>
    <t>ASPIRIN EC 81 MG TABLET [49483048110]</t>
  </si>
  <si>
    <t>BROMPHEN-PSE-DM 2-30-10 MG/5 ML [42192060716]</t>
  </si>
  <si>
    <t>FLUTICASONE-SALMETEROL 230-21 [66993008896]</t>
  </si>
  <si>
    <t>FOLIC ACID 1 MG TABLET [69315012710]</t>
  </si>
  <si>
    <t>VIMPAT 100 MG TABLET [00131247835]</t>
  </si>
  <si>
    <t>INFED 100 MG/2 ML VIAL [00023608210]</t>
  </si>
  <si>
    <t>ADDERALL 20 MG TABLET [57844012001]</t>
  </si>
  <si>
    <t>ALBUTEROL SUL 2.5 MG/3 ML SOLN [76204020025]</t>
  </si>
  <si>
    <t>OSELTAMIVIR 6 MG/ML SUSPENSION [72205006078]</t>
  </si>
  <si>
    <t>BELBUCA 450 MCG FILM [59385002460]</t>
  </si>
  <si>
    <t>BUPRENORPHINE-NALOXONE 8-2 MG SL TABLET [42858060203]</t>
  </si>
  <si>
    <t>METFORMIN HCL ER 500 MG TABLET [70010049105]</t>
  </si>
  <si>
    <t>BUPRENORPHINE-NALOXONE 8-2 MG SL TABLET [65162041503]</t>
  </si>
  <si>
    <t>DASATINIB 100 MG TABLET [70710174503]</t>
  </si>
  <si>
    <t>LIRAGLUTIDE 2-PAK 18 MG/3 ML [00143914402]</t>
  </si>
  <si>
    <t>BUTRANS 15 MCG/HR PATCH [59011075804]</t>
  </si>
  <si>
    <t>JANUMET XR 100-1,000 MG TABLET [00006008131]</t>
  </si>
  <si>
    <t>HYDROCODONE-ACETAMINOPHEN 5-325 MG TABLET [00406012301]</t>
  </si>
  <si>
    <t>AMLODIPINE BESYLATE 10 MG TAB [67877019910]</t>
  </si>
  <si>
    <t>AMLODIPINE BESYLATE 10 MG TAB [29300039810]</t>
  </si>
  <si>
    <t>VEVYE 0.1% EYE DROP [82667090002]</t>
  </si>
  <si>
    <t>MUPIROCIN 2% OINTMENT [68462018022]</t>
  </si>
  <si>
    <t>QUVIVIQ 50 MG TABLET [80491785003]</t>
  </si>
  <si>
    <t>CETIRIZINE HCL 1 MG/ML SOLN [51672407008]</t>
  </si>
  <si>
    <t>BELBUCA 600 MCG FILM [59385002560]</t>
  </si>
  <si>
    <t>HUMULIN N 100 UNIT/ML KWIKPEN [00002880559]</t>
  </si>
  <si>
    <t>OXYCONTIN ER 80 MG TABLET [59011048010]</t>
  </si>
  <si>
    <t>INVEGA TRINZA 273 MG/0.88 ML [50458060601]</t>
  </si>
  <si>
    <t>RISPERIDONE ER 50 MG VIAL [00480145308]</t>
  </si>
  <si>
    <t>BROMPHEN-PSE-DM 2-30-10 MG/5 ML [00574110416]</t>
  </si>
  <si>
    <t>GEMTESA 75 MG TABLET [73336007590]</t>
  </si>
  <si>
    <t>LORATADINE 10 MG TABLET [45802065087]</t>
  </si>
  <si>
    <t>DICLOFENAC 2% SOLUTION PUMP [68180053701]</t>
  </si>
  <si>
    <t>ELURYNG VAGINAL RING [65162046935]</t>
  </si>
  <si>
    <t>SULFAMETHOXAZOLE-TMP DS TABLET [65862042005]</t>
  </si>
  <si>
    <t>PREDNISONE 20 MG TABLET [70954006020]</t>
  </si>
  <si>
    <t>XARELTO 10 MG TABLET [50458058090]</t>
  </si>
  <si>
    <t>ZENPEP DR 10,000 UNIT CAPSULE [73562011001]</t>
  </si>
  <si>
    <t>TRAZODONE 50 MG TABLET [50111056003]</t>
  </si>
  <si>
    <t>PREDNISOLONE 15 MG/5 ML SOLN [00121088516]</t>
  </si>
  <si>
    <t>TRILEPTAL 600 MG TABLET [00078045705]</t>
  </si>
  <si>
    <t>METFORMIN HCL 500 MG TABLET [70010006310]</t>
  </si>
  <si>
    <t>KONVOMEP 2-84 MG/ML ORAL SUSP [65628027210]</t>
  </si>
  <si>
    <t>TROKENDI XR 100 MG CAPSULE [17772010330]</t>
  </si>
  <si>
    <t>OXYCODONE HCL (IR) 5 MG TABLET [00406055201]</t>
  </si>
  <si>
    <t>CLONIDINE HCL ER 0.1 MG TABLET [27241010806]</t>
  </si>
  <si>
    <t>BUPRENORPHINE-NALOXONE 8-2 MG SL TABLET [62756097083]</t>
  </si>
  <si>
    <t>NICOTINE 21 MG/24HR PATCH [43598044874]</t>
  </si>
  <si>
    <t>BELSOMRA 10 MG TABLET [00006003330]</t>
  </si>
  <si>
    <t>ISENTRESS HD 600 MG TABLET [00006308001]</t>
  </si>
  <si>
    <t>SERTRALINE HCL 100 MG TABLET [68180035302]</t>
  </si>
  <si>
    <t>PANTOPRAZOLE SOD DR 40 MG TAB [00378668910]</t>
  </si>
  <si>
    <t>JANUMET 50-1,000 MG TABLET [00006057762]</t>
  </si>
  <si>
    <t>FLUCONAZOLE 150 MG TABLET [55111014512]</t>
  </si>
  <si>
    <t>BUPROPION HCL XL 300 MG TABLET [16571086350]</t>
  </si>
  <si>
    <t>XARELTO 20 MG TABLET [50458057989]</t>
  </si>
  <si>
    <t>OXYCONTIN ER 15 MG TABLET [59011041510]</t>
  </si>
  <si>
    <t>LACTULOSE 10 GM/15 ML SOLUTION [00121087316]</t>
  </si>
  <si>
    <t>PANTOPRAZOLE SOD DR 40 MG TAB [31722071310]</t>
  </si>
  <si>
    <t>AMLODIPINE BESYLATE 5 MG TAB [67877019810]</t>
  </si>
  <si>
    <t>KETOCONAZOLE 2% SHAMPOO [70954066210]</t>
  </si>
  <si>
    <t>PERTZYE DR 24,000 UNIT CAPSULE [59767002401]</t>
  </si>
  <si>
    <t>LAMICTAL 100 MG TABLET [00173064255]</t>
  </si>
  <si>
    <t>ESCITALOPRAM 20 MG TABLET [43547028211]</t>
  </si>
  <si>
    <t>BUPROPION HCL XL 300 MG TABLET [68180032002]</t>
  </si>
  <si>
    <t>BUDESONIDE 0.5 MG/2 ML SUSP [68180098430]</t>
  </si>
  <si>
    <t>BUDESONIDE 0.25 MG/2 ML SUSP [00093681573]</t>
  </si>
  <si>
    <t>VRAYLAR 1.5 MG CAPSULE [61874011520]</t>
  </si>
  <si>
    <t>POLYETHYLENE GLYCOL 3350 POWD [00536105227]</t>
  </si>
  <si>
    <t>AMOXICILLIN 400 MG/5 ML SUSP [00093416173]</t>
  </si>
  <si>
    <t>CEPHALEXIN 500 MG CAPSULE [67877021905]</t>
  </si>
  <si>
    <t>TRETINOIN GEL MICRO 0.08% PUMP [21922004340]</t>
  </si>
  <si>
    <t>BACLOFEN 25 MG/5 ML SUSPENSION [62559020412]</t>
  </si>
  <si>
    <t>FYCOMPA 2 MG TABLET [69616027230]</t>
  </si>
  <si>
    <t>BUPRENORPHINE-NALOXONE 12-3 MG SL FILM [43598058130]</t>
  </si>
  <si>
    <t>OXYCODONE-ACETAMINOPHEN 10-325 MG TAB [00406052301]</t>
  </si>
  <si>
    <t>SERTRALINE HCL 50 MG TABLET [68180035202]</t>
  </si>
  <si>
    <t>NICOTINE 14 MG/24HR PATCH [43598044774]</t>
  </si>
  <si>
    <t>ESCITALOPRAM 10 MG TABLET [43547028111]</t>
  </si>
  <si>
    <t>TASIMELTEON 20 MG CAPSULE [00480449056]</t>
  </si>
  <si>
    <t>PREZISTA 800 MG TABLET [59676056630]</t>
  </si>
  <si>
    <t>BUDESONIDE 0.25 MG/2 ML SUSP [00487960130]</t>
  </si>
  <si>
    <t>CIPROFLOX-DEXAMETH OTIC SUSP [72485062513]</t>
  </si>
  <si>
    <t>HUMULIN 70-30 VIAL [00002871501]</t>
  </si>
  <si>
    <t>JOURNAVX 50 MG TABLET [51167054830]</t>
  </si>
  <si>
    <t>LYUMJEV 100 UNIT/ML VIAL [00002772801]</t>
  </si>
  <si>
    <t>YESINTEK 90 MG/ML SYRINGE [83257002541]</t>
  </si>
  <si>
    <t>FYCOMPA 10 MG TABLET [69616028030]</t>
  </si>
  <si>
    <t>RISPERDAL CONSTA 25 MG VIAL [50458030611]</t>
  </si>
  <si>
    <t>LAMICTAL XR 300 MG TABLET [00173076100]</t>
  </si>
  <si>
    <t>DICLOFENAC POT 25 MG TABLET [73352008660]</t>
  </si>
  <si>
    <t>SEREVENT DISKUS 50 MCG [00173052100]</t>
  </si>
  <si>
    <t>PROPRANOLOL 10 MG TABLET [69238207707]</t>
  </si>
  <si>
    <t>BELBUCA 300 MCG FILM [59385002360]</t>
  </si>
  <si>
    <t>OMEGA-3 ETHYL ESTERS 1 GM CAP [42806055212]</t>
  </si>
  <si>
    <t>UZEDY ER 50 MG/0.14 ML SYRINGE [51759030510]</t>
  </si>
  <si>
    <t>APTIOM 200 MG TABLET [63402020230]</t>
  </si>
  <si>
    <t>FLUCONAZOLE 150 MG TABLET [57237000511]</t>
  </si>
  <si>
    <t>DULOXETINE HCL DR 60 MG CAP [27241009903]</t>
  </si>
  <si>
    <t>JANUVIA 25 MG TABLET [00006022154]</t>
  </si>
  <si>
    <t>NALTREXONE 50 MG TABLET [00406117003]</t>
  </si>
  <si>
    <t>SERTRALINE HCL 100 MG TABLET [69097083512]</t>
  </si>
  <si>
    <t>PHEXXI 1.8-1-0.4% VAGINAL GEL [69751010012]</t>
  </si>
  <si>
    <t>LISDEXAMFETAMINE 30 MG CAPSULE [47781056401]</t>
  </si>
  <si>
    <t>TRAZODONE 50 MG TABLET [50111056001]</t>
  </si>
  <si>
    <t>OXYCONTIN ER 60 MG TABLET [59011046010]</t>
  </si>
  <si>
    <t>BUDESONIDE 0.5 MG/2 ML SUSP [69097031987]</t>
  </si>
  <si>
    <t>SAVELLA 50 MG TABLET [00456155060]</t>
  </si>
  <si>
    <t>BUPRENORPHINE-NALOXONE 2-0.5 MG SL TABLET [00054018813]</t>
  </si>
  <si>
    <t>SYNJARDY 12.5-1,000 MG TABLET [00597016818]</t>
  </si>
  <si>
    <t>DULOXETINE HCL DR 30 MG CAP [27241009810]</t>
  </si>
  <si>
    <t>KEPPRA XR 500 MG TABLET [50474059866]</t>
  </si>
  <si>
    <t>NICOTINE 21 MG/24HR PATCH [00536589688]</t>
  </si>
  <si>
    <t>EOHILIA 2 MG/10 ML PACKET [64764010560]</t>
  </si>
  <si>
    <t>AMLODIPINE BESYLATE 5 MG TAB [29300039710]</t>
  </si>
  <si>
    <t>DAPTOMYCIN 500 MG VIAL [60505622904]</t>
  </si>
  <si>
    <t>HYDROCODONE-ACETAMINOPHEN 5-325 MG TABLET [00406012305]</t>
  </si>
  <si>
    <t>GVOKE HYPOPEN 2PK 0.5 MG/0.1 ML [72065012012]</t>
  </si>
  <si>
    <t>DEXTROAMP-AMPHETAMIN 20 MG TAB [64850050501]</t>
  </si>
  <si>
    <t>ATORVASTATIN 20 MG TABLET [60505257908]</t>
  </si>
  <si>
    <t>HYDROCODONE-ACETAMINOPHEN 10-325 MG TABLET [00406012505]</t>
  </si>
  <si>
    <t>TASIMELTEON 20 MG CAPSULE [69238254803]</t>
  </si>
  <si>
    <t>EDURANT 25 MG TABLET [59676027801]</t>
  </si>
  <si>
    <t>METFORMIN HCL ER 500 MG TABLET [67877015905]</t>
  </si>
  <si>
    <t>ENILLORING VAGINAL RING [70700015691]</t>
  </si>
  <si>
    <t>INSULIN ASPART PROTAMINE-INSULIN ASPART MIX 70-30 FLEXPEN [73070020315]</t>
  </si>
  <si>
    <t>ATORVASTATIN 40 MG TABLET [60505258008]</t>
  </si>
  <si>
    <t>ATOMOXETINE HCL 40 MG CAPSULE [31722071730]</t>
  </si>
  <si>
    <t>ANNOVERA VAGINAL RING [68308075201]</t>
  </si>
  <si>
    <t>ASPIRIN 81 MG CHEWABLE TABLET [00904679480]</t>
  </si>
  <si>
    <t>FANAPT 4 MG TABLET [43068010402]</t>
  </si>
  <si>
    <t>DICLOFENAC SODIUM 1% GEL [45802095301]</t>
  </si>
  <si>
    <t>BUDESONIDE 1 MG/2 ML INH SUSP [69097032187]</t>
  </si>
  <si>
    <t>LEVETIRACETAM 100 MG/ML SOLN [31722057447]</t>
  </si>
  <si>
    <t>ICOSAPENT ETHYL 1 GRAM CAPSULE [60505403301]</t>
  </si>
  <si>
    <t>BUPRENORPHINE 8 MG TABLET SL [00228315303]</t>
  </si>
  <si>
    <t>AMOXICILLIN 500 MG CAPSULE [00781261305]</t>
  </si>
  <si>
    <t>CELLCEPT 200 MG/ML ORAL SUSP [00004026129]</t>
  </si>
  <si>
    <t>LIALDA DR 1.2 GM TABLET [54092047612]</t>
  </si>
  <si>
    <t>KEPPRA 750 MG TABLET [50474059640]</t>
  </si>
  <si>
    <t>OXTELLAR XR 300 MG TABLET [17772012201]</t>
  </si>
  <si>
    <t>SERTRALINE 150 MG CAPSULE [52427066430]</t>
  </si>
  <si>
    <t>MIDAZOLAM HCL 2 MG/2 ML VIAL [00641605725]</t>
  </si>
  <si>
    <t>ENTRESTO 49 MG-51 MG TABLET [00078077767]</t>
  </si>
  <si>
    <t>HUMULIN N 100 UNIT/ML VIAL [00002831501]</t>
  </si>
  <si>
    <t>FLUTICASONE-SALMETEROL 250-50 [66993058597]</t>
  </si>
  <si>
    <t>DIAZEPAM 10 MG RECTAL GEL (2PK) [43386028001]</t>
  </si>
  <si>
    <t>GABAPENTIN 300 MG CAPSULE [45963055650]</t>
  </si>
  <si>
    <t>ARISTADA INITIO ER 675 MG/2.4 [65757050003]</t>
  </si>
  <si>
    <t>NAPROXEN 500 MG TABLET [68462019005]</t>
  </si>
  <si>
    <t>LISINOPRIL 40 MG TABLET [68180097903]</t>
  </si>
  <si>
    <t>AUSTEDO XR 6 MG TABLET [68546047056]</t>
  </si>
  <si>
    <t>DOXYCYCLINE HYCLATE 100 MG CAP [27808023302]</t>
  </si>
  <si>
    <t>VALACYCLOVIR HCL 1 GRAM TABLET [31722070530]</t>
  </si>
  <si>
    <t>SUCRALFATE 1 GM/10 ML SUSP [66689030516]</t>
  </si>
  <si>
    <t>VIMPAT 150 MG TABLET [00131247935]</t>
  </si>
  <si>
    <t>NEXLETOL 180 MG TABLET [72426011803]</t>
  </si>
  <si>
    <t>LOSARTAN POTASSIUM 100 MG TAB [65862020399]</t>
  </si>
  <si>
    <t>BEVESPI AEROSPHERE INHALER [00310460012]</t>
  </si>
  <si>
    <t>BUTRANS 10 MCG/HR PATCH [59011075104]</t>
  </si>
  <si>
    <t>TACROLIMUS 1 MG CAPSULE (IMMEDIATE RELEASE) [00781210301]</t>
  </si>
  <si>
    <t>LISDEXAMFETAMINE 40 MG CAPSULE [47781056501]</t>
  </si>
  <si>
    <t>FANAPT 2 MG TABLET [43068010202]</t>
  </si>
  <si>
    <t>DASATINIB 100 MG TABLET [66993023730]</t>
  </si>
  <si>
    <t>DAPTOMYCIN 500 MG VIAL [71839010701]</t>
  </si>
  <si>
    <t>QBRELIS 1 MG/ML SOLUTION [52652300101]</t>
  </si>
  <si>
    <t>INSULIN DEGLUDEC FLEXTOUCH 200 UNIT/ML PEN [73070050315]</t>
  </si>
  <si>
    <t>PRALUENT 150 MG/ML PEN [61755002102]</t>
  </si>
  <si>
    <t>TRAZODONE 100 MG TABLET [68382080610]</t>
  </si>
  <si>
    <t>CIPRO HC OTIC SUSPENSION [66758008770]</t>
  </si>
  <si>
    <t>DICLOFENAC EPOLAMINE 1.3% PTCH [00093372755]</t>
  </si>
  <si>
    <t>LACTATED RINGERS INJECTION [00264775007]</t>
  </si>
  <si>
    <t>FORTEO 560 MCG/2.24 ML PEN INJ [00002967801]</t>
  </si>
  <si>
    <t>CLOZAPINE 100 MG TABLET [65862084605]</t>
  </si>
  <si>
    <t>GAVILYTE-G SOLUTION [43386009019]</t>
  </si>
  <si>
    <t>DIPHENHYDRAMINE 50 MG/ML VIAL [63323066401]</t>
  </si>
  <si>
    <t>NARCAN 4 MG NASAL SPRAY [69547062702]</t>
  </si>
  <si>
    <t>PREDNISOLONE AC 1% EYE DROP [60758011905]</t>
  </si>
  <si>
    <t>LEVETIRACETAM 100 MG/ML SOLN [65862025047]</t>
  </si>
  <si>
    <t>HUMULIN R 100 UNIT/ML VIAL [00002821501]</t>
  </si>
  <si>
    <t>METHOCARBAMOL 1,000 MG TABLET [73352051010]</t>
  </si>
  <si>
    <t>ZENPEP DR 15,000 UNIT CAPSULE [73562011101]</t>
  </si>
  <si>
    <t>TASIMELTEON 20 MG CAPSULE [60505466503]</t>
  </si>
  <si>
    <t>SPINOSAD 0.9% TOPICAL SUSP [52246057004]</t>
  </si>
  <si>
    <t>DEXTROAMP-AMPHETAMIN 30 MG TAB [00555097402]</t>
  </si>
  <si>
    <t>METHYLPHENIDATE ER 72 MG TAB [13811071030]</t>
  </si>
  <si>
    <t>KERENDIA 10 MG TABLET [50419054002]</t>
  </si>
  <si>
    <t>BACLOFEN 10 MG/5 ML SOLUTION [52817062008]</t>
  </si>
  <si>
    <t>GABAPENTIN 600 MG TABLET [68462012605]</t>
  </si>
  <si>
    <t>PREMARIN 0.625 MG TABLET [00046110281]</t>
  </si>
  <si>
    <t>NEXIUM DR 40 MG PACKET [00186404001]</t>
  </si>
  <si>
    <t>TRUVADA 200 MG-300 MG TABLET [61958070101]</t>
  </si>
  <si>
    <t>BUPROPION HCL XL 150 MG TABLET [68180031902]</t>
  </si>
  <si>
    <t>DEXMETHYLPHENIDATE ER 20 MG CP [00115992101]</t>
  </si>
  <si>
    <t>PROCRIT 40,000 UNITS/ML VIAL [59676034001]</t>
  </si>
  <si>
    <t>COMBIPATCH 0.05-0.14 MG PTCH [68968051408]</t>
  </si>
  <si>
    <t>PRUCALOPRIDE 2 MG TABLET [70954059710]</t>
  </si>
  <si>
    <t>BUPROPION HCL XL 150 MG TABLET [16571086250]</t>
  </si>
  <si>
    <t>TRAZODONE 50 MG TABLET [68382080510]</t>
  </si>
  <si>
    <t>IBUPROFEN 100 MG/5 ML SUSP [45802095226]</t>
  </si>
  <si>
    <t>GVOKE HYPOPEN 1-PK 1 MG/0.2 ML [72065012111]</t>
  </si>
  <si>
    <t>SYNJARDY XR 10-1,000 MG TABLET [00597028073]</t>
  </si>
  <si>
    <t>INSULIN GLARGINE-YFGN U100 VL [83257001411]</t>
  </si>
  <si>
    <t>BACLOFEN 25 MG/5 ML SUSPENSION [52536060012]</t>
  </si>
  <si>
    <t>ONDANSETRON HCL 4 MG/2 ML VIAL [00641607825]</t>
  </si>
  <si>
    <t>METRONIDAZOLE 500 MG TABLET [50111033401]</t>
  </si>
  <si>
    <t>PREMPRO 0.3 MG-1.5 MG TABLET [00046110511]</t>
  </si>
  <si>
    <t>INSULIN DEGLUDEC FLEXTOUCH 100 UNIT/ML PEN [73070040315]</t>
  </si>
  <si>
    <t>TEGRETOL 200 MG TABLET [00078050905]</t>
  </si>
  <si>
    <t>CLOZAPINE 200 MG TABLET [65862084701]</t>
  </si>
  <si>
    <t>CHLORZOXAZONE 250 MG TABLET [64980058206]</t>
  </si>
  <si>
    <t>CETIRIZINE HCL 10 MG TABLET [70010016305]</t>
  </si>
  <si>
    <t>FARXIGA 5 MG TABLET [00310620590]</t>
  </si>
  <si>
    <t>AMOX-CLAV 875-125 MG TABLET [00781185220]</t>
  </si>
  <si>
    <t>TYRVAYA 0.03 MG NASAL SPRAY [73521003002]</t>
  </si>
  <si>
    <t>BUSPIRONE HCL 10 MG TABLET [29300024505]</t>
  </si>
  <si>
    <t>QULIPTA 10 MG TABLET [00074709530]</t>
  </si>
  <si>
    <t>DEXLANSOPRAZOLE DR 60 MG CAP [24979000206]</t>
  </si>
  <si>
    <t>PERSERIS ER 90 MG SYRINGE KIT [12496009001]</t>
  </si>
  <si>
    <t>METFORMIN HCL 1,000 MG TABLET [70010006505]</t>
  </si>
  <si>
    <t>ALBUTEROL SUL 2.5 MG/3 ML SOLN [76204020060]</t>
  </si>
  <si>
    <t>TOPAMAX 100 MG TABLET [50458064165]</t>
  </si>
  <si>
    <t>IBUPROFEN 600 MG TABLET [67877032005]</t>
  </si>
  <si>
    <t>CLINDAMYCIN PHOS 1% PLEDGET [45802026337]</t>
  </si>
  <si>
    <t>NEOMYCIN-POLYMYXIN-HC EAR SUSP [24208063562]</t>
  </si>
  <si>
    <t>TYENNE 162 MG/0.9 ML AUTOINJCT [65219058401]</t>
  </si>
  <si>
    <t>ENTRESTO 97 MG-103 MG TABLET [00078069667]</t>
  </si>
  <si>
    <t>FIDAXOMICIN 200 MG TABLET [00480259634]</t>
  </si>
  <si>
    <t>AMBRISENTAN 10 MG TABLET [82009014230]</t>
  </si>
  <si>
    <t>LOSARTAN POTASSIUM 50 MG TAB [31722070110]</t>
  </si>
  <si>
    <t>DOXEPIN 5% CREAM [00378811745]</t>
  </si>
  <si>
    <t>MELOXICAM 15 MG TABLET [68382005105]</t>
  </si>
  <si>
    <t>ZOMACTON 10 MG VIAL [55566190101]</t>
  </si>
  <si>
    <t>CLINDAMYCIN PHOSP 1% LOTION [21922003601]</t>
  </si>
  <si>
    <t>NITROFURANTOIN MONO-MCR 100 MG [70756040411]</t>
  </si>
  <si>
    <t>ADDERALL 30 MG TABLET [57844013001]</t>
  </si>
  <si>
    <t>XYOSTED 75 MG/0.5 ML AUTO-INJ [54436027504]</t>
  </si>
  <si>
    <t>SERTRALINE HCL 50 MG TABLET [65862001205]</t>
  </si>
  <si>
    <t>SEVELAMER CARBONATE 800 MG TAB [65862092127]</t>
  </si>
  <si>
    <t>TOPAMAX 200 MG TABLET [50458064265]</t>
  </si>
  <si>
    <t>CYANOCOBALAMIN 500 MCG SPRAY [43386023770]</t>
  </si>
  <si>
    <t>METRONIDAZOLE 500 MG TABLET [29300022705]</t>
  </si>
  <si>
    <t>TRETINOIN 0.025% CREAM [51672140709]</t>
  </si>
  <si>
    <t>DYANAVEL XR 20 MG TABLET [24478011001]</t>
  </si>
  <si>
    <t>DYMISTA NASAL SPRAY [00037024523]</t>
  </si>
  <si>
    <t>OMNITROPE 5 MG/1.5 ML CRTG [00781300107]</t>
  </si>
  <si>
    <t>HYDROXYZINE HCL 25 MG TABLET [16571011450]</t>
  </si>
  <si>
    <t>METFORMIN HCL 1,000 MG TABLET [70010006599]</t>
  </si>
  <si>
    <t>SAPHRIS 10 MG TAB SUBLINGUAL [00456241060]</t>
  </si>
  <si>
    <t>TAMSULOSIN HCL 0.4 MG CAPSULE [68382013210]</t>
  </si>
  <si>
    <t>CIPROFLOX-DEXAMETH OTIC SUSP [62756042790]</t>
  </si>
  <si>
    <t>PREDNISOLONE AC 1% EYE DROP [61314063705]</t>
  </si>
  <si>
    <t>BETAMETHASONE SP-AC 30 MG/5 ML [00517072001]</t>
  </si>
  <si>
    <t>SERTRALINE HCL 50 MG TABLET [69097083412]</t>
  </si>
  <si>
    <t>AMLODIPINE BESYLATE 10 MG TAB [69097012815]</t>
  </si>
  <si>
    <t>FANAPT 1 MG TABLET [43068010102]</t>
  </si>
  <si>
    <t>GUANFACINE HCL ER 1 MG TABLET [60505392701]</t>
  </si>
  <si>
    <t>AMOXICILLIN 400 MG/5 ML SUSP [65862007175]</t>
  </si>
  <si>
    <t>OXCARBAZEPINE 300 MG/5 ML SUSP [69452012550]</t>
  </si>
  <si>
    <t>LISDEXAMFETAMINE 50 MG CAPSULE [47781056601]</t>
  </si>
  <si>
    <t>NEFFY 2 MG/0.1 ML NASAL SPRAY [82580002002]</t>
  </si>
  <si>
    <t>SYNTHROID 50 MCG TABLET [00074455290]</t>
  </si>
  <si>
    <t>DEXAMETHASONE 100 MG/10 ML VL [63323051610]</t>
  </si>
  <si>
    <t>ROZEREM 8 MG TABLET [64764080530]</t>
  </si>
  <si>
    <t>DESMOPRESSIN ACETATE 0.2 MG TB [23155049001]</t>
  </si>
  <si>
    <t>FLUOXETINE HCL 40 MG CAPSULE [65862019405]</t>
  </si>
  <si>
    <t>BUPROPION HCL XL 300 MG TABLET [42806041605]</t>
  </si>
  <si>
    <t>TERIPARATIDE 560 MCG/2.24 ML PEN [66993049528]</t>
  </si>
  <si>
    <t>MIRABEGRON ER 25 MG TABLET [68180015106]</t>
  </si>
  <si>
    <t>XARELTO 1 MG/ML SUSPENSION [50458057501]</t>
  </si>
  <si>
    <t>XYOSTED 100 MG/0.5 ML AUTO-INJ [54436020004]</t>
  </si>
  <si>
    <t>DEXMETHYLPHENIDATE ER 10 MG CP [00115991901]</t>
  </si>
  <si>
    <t>OXCARBAZEPINE 600 MG TABLET [68462013901]</t>
  </si>
  <si>
    <t>MAGNESIUM OXIDE 400 MG TABLET [00603020922]</t>
  </si>
  <si>
    <t>IBUPROFEN 800 MG TABLET [67877032105]</t>
  </si>
  <si>
    <t>MUPIROCIN 2% OINTMENT [45802011222]</t>
  </si>
  <si>
    <t>GUANFACINE HCL ER 2 MG TABLET [60505392801]</t>
  </si>
  <si>
    <t>ALBUTEROL SUL 1.25 MG/3 ML SOL [00378705852]</t>
  </si>
  <si>
    <t>ERYTHROMYCIN 200 MG/5 ML SUSP [62559063001]</t>
  </si>
  <si>
    <t>TRETINOIN 0.05% CREAM [00574220545]</t>
  </si>
  <si>
    <t>FAMOTIDINE 40 MG/5 ML SUSP [70954031610]</t>
  </si>
  <si>
    <t>BUPROPION HCL XL 150 MG TABLET [68180031909]</t>
  </si>
  <si>
    <t>DEXTROAMP-AMPHET ER 20 MG CAP [64850051301]</t>
  </si>
  <si>
    <t>OMEPRAZOLE DR 40 MG CAPSULE [59651000305]</t>
  </si>
  <si>
    <t>ESCITALOPRAM 10 MG TABLET [13668013610]</t>
  </si>
  <si>
    <t>BANZEL 200 MG TABLET [62856058252]</t>
  </si>
  <si>
    <t>NICOTINE 14 MG/24HR PATCH [00536589588]</t>
  </si>
  <si>
    <t>EPINEPHRINE 0.15 MG AUTO-INJCT [00115169549]</t>
  </si>
  <si>
    <t>HYDROCODONE-ACETAMINOPHEN 10-325 MG TABLET [00406012501]</t>
  </si>
  <si>
    <t>FLUOXETINE HCL 20 MG CAPSULE [50111064801]</t>
  </si>
  <si>
    <t>BELBUCA 750 MCG FILM [59385002660]</t>
  </si>
  <si>
    <t>MONTELUKAST SOD 10 MG TABLET [29300022019]</t>
  </si>
  <si>
    <t>OXCARBAZEPINE 300 MG TABLET [68462013801]</t>
  </si>
  <si>
    <t>CEFDINIR 250 MG/5 ML SUSP [68180072304]</t>
  </si>
  <si>
    <t>CETIRIZINE HCL 10 MG TABLET [16714079904]</t>
  </si>
  <si>
    <t>LOSARTAN POTASSIUM 100 MG TAB [31722070210]</t>
  </si>
  <si>
    <t>SEVELAMER CARBONATE 800 MG TAB [64380087267]</t>
  </si>
  <si>
    <t>NAPROXEN 500 MG TABLET [65162019050]</t>
  </si>
  <si>
    <t>PROPRANOLOL 20 MG TABLET [69238207807]</t>
  </si>
  <si>
    <t>DEXTROAMP-AMPHETAMIN 20 MG TAB [42806034401]</t>
  </si>
  <si>
    <t>WIXELA 250-50 INHUB [00378932132]</t>
  </si>
  <si>
    <t>ZUBSOLV 11.4-2.9 MG TABLET SL [54123011430]</t>
  </si>
  <si>
    <t>MELOXICAM 15 MG TABLET [29300012510]</t>
  </si>
  <si>
    <t>POLYETHYLENE GLYCOL 3350 POWD [45802086802]</t>
  </si>
  <si>
    <t>SYMPAZAN 10 MG FILM [10094021060]</t>
  </si>
  <si>
    <t>DEXLANSOPRAZOLE DR 60 MG CAP [49884014811]</t>
  </si>
  <si>
    <t>CLOBAZAM 2.5 MG/ML SUSPENSION [59651040112]</t>
  </si>
  <si>
    <t>TALICIA DR 10-250-12.5 MG CAP [57841115002]</t>
  </si>
  <si>
    <t>SUMATRIPTAN 6 MG/0.5 ML AUTOINJ [43598076823]</t>
  </si>
  <si>
    <t>CEFAZOLIN 1 GM VIAL [00143992490]</t>
  </si>
  <si>
    <t>INSULIN LISPRO MIX 75-25 KWKPN [00002823305]</t>
  </si>
  <si>
    <t>HADLIMA PUSHTOUCH 40 MG/0.8 ML [78206018401]</t>
  </si>
  <si>
    <t>CYCLOBENZAPRINE 10 MG TABLET [52817033200]</t>
  </si>
  <si>
    <t>SAPHRIS 5 MG TAB SUBLINGUAL [00456240560]</t>
  </si>
  <si>
    <t>TOBRADEX EYE OINTMENT [00078087601]</t>
  </si>
  <si>
    <t>PROAIR RESPICLICK 90 MCG INHLR [59310058020]</t>
  </si>
  <si>
    <t>LORATADINE 10 MG TABLET [00904685272]</t>
  </si>
  <si>
    <t>POLYMYXIN B-TMP EYE DROPS [61314062810]</t>
  </si>
  <si>
    <t>MONTELUKAST SOD 10 MG TABLET [65862057490]</t>
  </si>
  <si>
    <t>HYDROCHLOROTHIAZIDE 25 MG TAB [29300012810]</t>
  </si>
  <si>
    <t>GRISEOFULVIN 125 MG/5 ML SUSP [00713085004]</t>
  </si>
  <si>
    <t>SYMPAZAN 20 MG FILM [10094022060]</t>
  </si>
  <si>
    <t>AMOXICILLIN 875 MG TABLET [65862001501]</t>
  </si>
  <si>
    <t>ONDANSETRON ODT 8 MG TABLET [65862039110]</t>
  </si>
  <si>
    <t>ADDERALL XR 5 MG CAPSULE [54092038101]</t>
  </si>
  <si>
    <t>AZELASTINE 0.1% (137 MCG) SPRY [60505083305]</t>
  </si>
  <si>
    <t>BUPRENORPHINE-NALOXONE 12-3 MG SL FILM [47781035803]</t>
  </si>
  <si>
    <t>GABAPENTIN 300 MG CAPSULE [67877022310]</t>
  </si>
  <si>
    <t>HYDROXYZINE PAM 50 MG CAP [00185067605]</t>
  </si>
  <si>
    <t>CEFDINIR 250 MG/5 ML SUSP [65862021960]</t>
  </si>
  <si>
    <t>AZITHROMYCIN 250 MG TABLET [65862064169]</t>
  </si>
  <si>
    <t>OMEPRAZOLE DR 40 MG CAPSULE [68382050010]</t>
  </si>
  <si>
    <t>CEFDINIR 300 MG CAPSULE [65862017760]</t>
  </si>
  <si>
    <t>SAVELLA 100 MG TABLET [00456151060]</t>
  </si>
  <si>
    <t>NITROFURANTOIN 25 MG/5 ML SUSP [64980059324]</t>
  </si>
  <si>
    <t>CHILD LORATADINE 5 MG/5 ML SOL [51672213108]</t>
  </si>
  <si>
    <t>PERTZYE DR 16,000 UNIT CAPSULE [59767001601]</t>
  </si>
  <si>
    <t>NICOTINE 4 MG CHEWING GUM [00536303023]</t>
  </si>
  <si>
    <t>SEGLUROMET 7.5-1,000 MG TABLET [00006537403]</t>
  </si>
  <si>
    <t>SIVEXTRO 200 MG TABLET [67919004104]</t>
  </si>
  <si>
    <t>VERQUVO 10 MG TABLET [00006503001]</t>
  </si>
  <si>
    <t>BCG (TICE STRAIN) VIAL [00052060202]</t>
  </si>
  <si>
    <t>EMEND 80 MG CAPSULE [00006046102]</t>
  </si>
  <si>
    <t>STEGLUJAN 15-100 MG TABLET [00006536803]</t>
  </si>
  <si>
    <t>CELESTONE SOLUSPAN 30 MG/5 ML [00085432001]</t>
  </si>
  <si>
    <t>STROMECTOL 3 MG TABLET [00006003220]</t>
  </si>
  <si>
    <t>INVANZ 1 GM VIAL [00006384371]</t>
  </si>
  <si>
    <t>ZEPATIER 50-100 MG TABLET [00006307402]</t>
  </si>
  <si>
    <t>NOXAFIL 40 MG/ML SUSPENSION [00085132801]</t>
  </si>
  <si>
    <t>Compare with</t>
  </si>
  <si>
    <t>All packs</t>
  </si>
  <si>
    <t>Brand</t>
  </si>
  <si>
    <t>Generic</t>
  </si>
  <si>
    <t>Branded generic</t>
  </si>
  <si>
    <t>Biologic</t>
  </si>
  <si>
    <t>Cardiovascular</t>
  </si>
  <si>
    <t>Diabetes &amp; obesity</t>
  </si>
  <si>
    <t>Endocrine &amp; women's health</t>
  </si>
  <si>
    <t>Eye &amp; skin</t>
  </si>
  <si>
    <t>Gastroenterology</t>
  </si>
  <si>
    <t>HIV</t>
  </si>
  <si>
    <t>Hematology</t>
  </si>
  <si>
    <t>Immunology &amp; inflammation</t>
  </si>
  <si>
    <t>Infectious disease (non-HIV)</t>
  </si>
  <si>
    <t>Neurology &amp; psychiatry</t>
  </si>
  <si>
    <t>Oncology</t>
  </si>
  <si>
    <t>Other (vitamins, fluids, diagnostics)</t>
  </si>
  <si>
    <t>Pain, addiction &amp; anesthesia</t>
  </si>
  <si>
    <t>Rare &amp; genetic disease</t>
  </si>
  <si>
    <t>Respiratory &amp; allergy</t>
  </si>
  <si>
    <t>Urology &amp; renal</t>
  </si>
  <si>
    <t>Base year</t>
  </si>
  <si>
    <t>End year</t>
  </si>
  <si>
    <t>Pack</t>
  </si>
  <si>
    <t>NDC</t>
  </si>
  <si>
    <t>Description</t>
  </si>
  <si>
    <t>Class</t>
  </si>
  <si>
    <t>Area</t>
  </si>
  <si>
    <t>Owner</t>
  </si>
  <si>
    <t>Family</t>
  </si>
  <si>
    <t>Medicaid units 2025</t>
  </si>
  <si>
    <t>Medicaid spend 2025</t>
  </si>
  <si>
    <t>Unit</t>
  </si>
  <si>
    <t>Latest rate</t>
  </si>
  <si>
    <t>Change, base to end</t>
  </si>
  <si>
    <t>61958250101</t>
  </si>
  <si>
    <t>BIKTARVY 50-200-25 MG TABLET</t>
  </si>
  <si>
    <t>Gilead</t>
  </si>
  <si>
    <t>BIKTARVY</t>
  </si>
  <si>
    <t>EA</t>
  </si>
  <si>
    <t>00074055402</t>
  </si>
  <si>
    <t>HUMIRA(CF) PEN 40 MG/0.4 ML</t>
  </si>
  <si>
    <t>AbbVie</t>
  </si>
  <si>
    <t>HUMIRA</t>
  </si>
  <si>
    <t>00024591502</t>
  </si>
  <si>
    <t>DUPIXENT 300 MG/2 ML PEN</t>
  </si>
  <si>
    <t>Sanofi</t>
  </si>
  <si>
    <t>DUPIXENT</t>
  </si>
  <si>
    <t>ML</t>
  </si>
  <si>
    <t>00169418113</t>
  </si>
  <si>
    <t>OZEMPIC 0.25-0.5 MG/DOSE (2 MG/3 ML) PEN</t>
  </si>
  <si>
    <t>Novo Nordisk</t>
  </si>
  <si>
    <t>OZEMPIC</t>
  </si>
  <si>
    <t>50458056401</t>
  </si>
  <si>
    <t>INVEGA SUSTENNA 234 MG/1.5 ML</t>
  </si>
  <si>
    <t>Johnson &amp; Johnson</t>
  </si>
  <si>
    <t>INVEGA SUSTENNA</t>
  </si>
  <si>
    <t>00169477212</t>
  </si>
  <si>
    <t>OZEMPIC 2 MG/DOSE (8 MG/3 ML) PEN</t>
  </si>
  <si>
    <t>00003089421</t>
  </si>
  <si>
    <t>ELIQUIS 5 MG TABLET</t>
  </si>
  <si>
    <t>Bristol Myers Squibb</t>
  </si>
  <si>
    <t>ELIQUIS</t>
  </si>
  <si>
    <t>57894006103</t>
  </si>
  <si>
    <t>STELARA 90 MG/ML SYRINGE</t>
  </si>
  <si>
    <t>STELARA</t>
  </si>
  <si>
    <t>00597015330</t>
  </si>
  <si>
    <t>JARDIANCE 25 MG TABLET</t>
  </si>
  <si>
    <t>Boehringer Ingelheim</t>
  </si>
  <si>
    <t>JARDIANCE</t>
  </si>
  <si>
    <t>00169413013</t>
  </si>
  <si>
    <t>OZEMPIC 1 MG/DOSE (4 MG/3 ML) PEN</t>
  </si>
  <si>
    <t>00074210001</t>
  </si>
  <si>
    <t>SKYRIZI 150 MG/ML PEN</t>
  </si>
  <si>
    <t>SKYRIZI</t>
  </si>
  <si>
    <t>00597015230</t>
  </si>
  <si>
    <t>JARDIANCE 10 MG TABLET</t>
  </si>
  <si>
    <t>58406003204</t>
  </si>
  <si>
    <t>ENBREL 50 MG/ML SURECLICK</t>
  </si>
  <si>
    <t>Amgen</t>
  </si>
  <si>
    <t>ENBREL</t>
  </si>
  <si>
    <t>00078107068</t>
  </si>
  <si>
    <t>COSENTYX UNOREADY 300 MG/2 ML PEN (1 PEN)</t>
  </si>
  <si>
    <t>Novartis</t>
  </si>
  <si>
    <t>COSENTYX</t>
  </si>
  <si>
    <t>00169452414</t>
  </si>
  <si>
    <t>WEGOVY 2.4 MG/0.75 ML PEN</t>
  </si>
  <si>
    <t>WEGOVY</t>
  </si>
  <si>
    <t>61874011530</t>
  </si>
  <si>
    <t>VRAYLAR 1.5 MG CAPSULE</t>
  </si>
  <si>
    <t>VRAYLAR</t>
  </si>
  <si>
    <t>00310621030</t>
  </si>
  <si>
    <t>FARXIGA 10 MG TABLET</t>
  </si>
  <si>
    <t>AstraZeneca</t>
  </si>
  <si>
    <t>FARXIGA</t>
  </si>
  <si>
    <t>12496120803</t>
  </si>
  <si>
    <t>SUBOXONE 8 MG-2 MG SL FILM</t>
  </si>
  <si>
    <t>Indivior</t>
  </si>
  <si>
    <t>SUBOXONE</t>
  </si>
  <si>
    <t>72618300002</t>
  </si>
  <si>
    <t>NURTEC ODT 75 MG TABLET</t>
  </si>
  <si>
    <t>Pfizer</t>
  </si>
  <si>
    <t>NURTEC ODT</t>
  </si>
  <si>
    <t>00074262528</t>
  </si>
  <si>
    <t>MAVYRET 100-40 MG TABLET</t>
  </si>
  <si>
    <t>MAVYRET</t>
  </si>
  <si>
    <t>00074012402</t>
  </si>
  <si>
    <t>HUMIRA(CF) PEN 80 MG/0.8 ML</t>
  </si>
  <si>
    <t>00002143480</t>
  </si>
  <si>
    <t>TRULICITY 1.5 MG/0.5 ML PEN</t>
  </si>
  <si>
    <t>Eli Lilly</t>
  </si>
  <si>
    <t>TRULICITY</t>
  </si>
  <si>
    <t>61874013030</t>
  </si>
  <si>
    <t>VRAYLAR 3 MG CAPSULE</t>
  </si>
  <si>
    <t>00024591401</t>
  </si>
  <si>
    <t>DUPIXENT 300 MG/2 ML SYRINGE</t>
  </si>
  <si>
    <t>59148007280</t>
  </si>
  <si>
    <t>ABILIFY MAINTENA ER 400 MG SYR</t>
  </si>
  <si>
    <t>Otsuka</t>
  </si>
  <si>
    <t>ABILIFY MAINTENA</t>
  </si>
  <si>
    <t>00002143380</t>
  </si>
  <si>
    <t>TRULICITY 0.75 MG/0.5 ML PEN</t>
  </si>
  <si>
    <t>00074230630</t>
  </si>
  <si>
    <t>RINVOQ ER 15 MG TABLET</t>
  </si>
  <si>
    <t>RINVOQ</t>
  </si>
  <si>
    <t>00002144511</t>
  </si>
  <si>
    <t>TALTZ 80 MG/ML AUTOINJECTOR</t>
  </si>
  <si>
    <t>TALTZ</t>
  </si>
  <si>
    <t>00169450514</t>
  </si>
  <si>
    <t>WEGOVY 0.5 MG/0.5 ML PEN</t>
  </si>
  <si>
    <t>00169452514</t>
  </si>
  <si>
    <t>WEGOVY 0.25 MG/0.5 ML PEN</t>
  </si>
  <si>
    <t>00169450114</t>
  </si>
  <si>
    <t>WEGOVY 1 MG/0.5 ML PEN</t>
  </si>
  <si>
    <t>00002249580</t>
  </si>
  <si>
    <t>ZEPBOUND 5 MG/0.5 ML PEN</t>
  </si>
  <si>
    <t>ZEPBOUND</t>
  </si>
  <si>
    <t>00002223680</t>
  </si>
  <si>
    <t>TRULICITY 3 MG/0.5 ML PEN</t>
  </si>
  <si>
    <t>61958200201</t>
  </si>
  <si>
    <t>DESCOVY 200-25 MG TABLET</t>
  </si>
  <si>
    <t>DESCOVY</t>
  </si>
  <si>
    <t>00078063941</t>
  </si>
  <si>
    <t>COSENTYX SENSOREADY 300 MG DOSE/2 PENS (150 MG/PEN)</t>
  </si>
  <si>
    <t>00078100768</t>
  </si>
  <si>
    <t>KESIMPTA 20 MG/0.4 ML PEN</t>
  </si>
  <si>
    <t>KESIMPTA</t>
  </si>
  <si>
    <t>00186037020</t>
  </si>
  <si>
    <t>SYMBICORT 160-4.5 MCG INHALER</t>
  </si>
  <si>
    <t>SYMBICORT</t>
  </si>
  <si>
    <t>GM</t>
  </si>
  <si>
    <t>00074107001</t>
  </si>
  <si>
    <t>SKYRIZI 360 MG/2.4 ML ON-BODY</t>
  </si>
  <si>
    <t>50458056301</t>
  </si>
  <si>
    <t>INVEGA SUSTENNA 156 MG/ML SYRG</t>
  </si>
  <si>
    <t>00169451714</t>
  </si>
  <si>
    <t>WEGOVY 1.7 MG/0.75 ML PEN</t>
  </si>
  <si>
    <t>00002250680</t>
  </si>
  <si>
    <t>ZEPBOUND 2.5 MG/0.5 ML PEN</t>
  </si>
  <si>
    <t>00002318280</t>
  </si>
  <si>
    <t>TRULICITY 4.5 MG/0.5 ML PEN</t>
  </si>
  <si>
    <t>72626270101</t>
  </si>
  <si>
    <t>SOFOSBUVIR-VELPATASVIR 400-100</t>
  </si>
  <si>
    <t>SOFOSBUVIR AND VELPATASVIR</t>
  </si>
  <si>
    <t>00024591902</t>
  </si>
  <si>
    <t>DUPIXENT 200 MG/1.14 ML PEN</t>
  </si>
  <si>
    <t>65757030001</t>
  </si>
  <si>
    <t>VIVITROL 380 MG VIAL-DILUENT</t>
  </si>
  <si>
    <t>Alkermes</t>
  </si>
  <si>
    <t>VIVITROL</t>
  </si>
  <si>
    <t>55513013760</t>
  </si>
  <si>
    <t>OTEZLA 30 MG TABLET</t>
  </si>
  <si>
    <t>OTEZLA</t>
  </si>
  <si>
    <t>00002149580</t>
  </si>
  <si>
    <t>MOUNJARO 5 MG/0.5 ML PEN</t>
  </si>
  <si>
    <t>MOUNJARO</t>
  </si>
  <si>
    <t>00002248480</t>
  </si>
  <si>
    <t>ZEPBOUND 7.5 MG/0.5 ML PEN</t>
  </si>
  <si>
    <t>49702024613</t>
  </si>
  <si>
    <t>DOVATO 50-300 MG TABLET</t>
  </si>
  <si>
    <t>GSK (incl. ViiV)</t>
  </si>
  <si>
    <t>DOVATO</t>
  </si>
  <si>
    <t>50458060901</t>
  </si>
  <si>
    <t>INVEGA TRINZA 819 MG/2.63 ML</t>
  </si>
  <si>
    <t>INVEGA TRINZA</t>
  </si>
  <si>
    <t>57894064011</t>
  </si>
  <si>
    <t>TREMFYA 100 MG/ML ONE-PRESS</t>
  </si>
  <si>
    <t>TREMFYA</t>
  </si>
  <si>
    <t>61958190101</t>
  </si>
  <si>
    <t>GENVOYA TABLET</t>
  </si>
  <si>
    <t>GENVOYA</t>
  </si>
  <si>
    <t>00173068220</t>
  </si>
  <si>
    <t>VENTOLIN HFA 90 MCG INHALER</t>
  </si>
  <si>
    <t>VENTOLIN</t>
  </si>
  <si>
    <t>72060014240</t>
  </si>
  <si>
    <t>CAPLYTA 42 MG CAPSULE</t>
  </si>
  <si>
    <t>Intra Cellular Therapies</t>
  </si>
  <si>
    <t>CAPLYTA</t>
  </si>
  <si>
    <t>00169770821</t>
  </si>
  <si>
    <t>NORDITROPIN FLEXPRO 15 MG/1.5</t>
  </si>
  <si>
    <t>NORDITROPIN</t>
  </si>
  <si>
    <t>00002148480</t>
  </si>
  <si>
    <t>MOUNJARO 7.5 MG/0.5 ML PEN</t>
  </si>
  <si>
    <t>70370108001</t>
  </si>
  <si>
    <t>INGREZZA 80 MG CAPSULE</t>
  </si>
  <si>
    <t>Neurocrine Biosciences</t>
  </si>
  <si>
    <t>INGREZZA</t>
  </si>
  <si>
    <t>00173088710</t>
  </si>
  <si>
    <t>TRELEGY ELLIPTA 100-62.5-25</t>
  </si>
  <si>
    <t>TRELEGY ELLIPTA</t>
  </si>
  <si>
    <t>50458057930</t>
  </si>
  <si>
    <t>XARELTO 20 MG TABLET</t>
  </si>
  <si>
    <t>XARELTO</t>
  </si>
  <si>
    <t>59676080030</t>
  </si>
  <si>
    <t>SYMTUZA 800-150-200-10 MG TAB</t>
  </si>
  <si>
    <t>SYMTUZA</t>
  </si>
  <si>
    <t>00088221905</t>
  </si>
  <si>
    <t>LANTUS SOLOSTAR 100 UNIT/ML</t>
  </si>
  <si>
    <t>LANTUS SOLOSTAR</t>
  </si>
  <si>
    <t>00173089310</t>
  </si>
  <si>
    <t>TRELEGY ELLIPTA 200-62.5-25</t>
  </si>
  <si>
    <t>70370204001</t>
  </si>
  <si>
    <t>INGREZZA 40 MG CAPSULE</t>
  </si>
  <si>
    <t>50458002803</t>
  </si>
  <si>
    <t>SPRAVATO 84 MG DOSE PACK</t>
  </si>
  <si>
    <t>SPRAVATO</t>
  </si>
  <si>
    <t>50474078284</t>
  </si>
  <si>
    <t>BIMZELX 320 MG/2 ML AUTOINJECT</t>
  </si>
  <si>
    <t>UCB</t>
  </si>
  <si>
    <t>BIMZELX</t>
  </si>
  <si>
    <t>00456120130</t>
  </si>
  <si>
    <t>LINZESS 145 MCG CAPSULE</t>
  </si>
  <si>
    <t>LINZESS</t>
  </si>
  <si>
    <t>00023650110</t>
  </si>
  <si>
    <t>UBRELVY 100 MG TABLET</t>
  </si>
  <si>
    <t>UBRELVY</t>
  </si>
  <si>
    <t>00002247180</t>
  </si>
  <si>
    <t>ZEPBOUND 10 MG/0.5 ML PEN</t>
  </si>
  <si>
    <t>00078065920</t>
  </si>
  <si>
    <t>ENTRESTO 24 MG-26 MG TABLET</t>
  </si>
  <si>
    <t>ENTRESTO</t>
  </si>
  <si>
    <t>00186037220</t>
  </si>
  <si>
    <t>SYMBICORT 80-4.5 MCG INHALER</t>
  </si>
  <si>
    <t>00002147180</t>
  </si>
  <si>
    <t>MOUNJARO 10 MG/0.5 ML PEN</t>
  </si>
  <si>
    <t>00002150680</t>
  </si>
  <si>
    <t>MOUNJARO 2.5 MG/0.5 ML PEN</t>
  </si>
  <si>
    <t>00024591801</t>
  </si>
  <si>
    <t>DUPIXENT 200 MG/1.14 ML SYRING</t>
  </si>
  <si>
    <t>00032301613</t>
  </si>
  <si>
    <t>CREON DR 36,000 UNIT CAPSULE</t>
  </si>
  <si>
    <t>CREON</t>
  </si>
  <si>
    <t>49702022813</t>
  </si>
  <si>
    <t>TIVICAY 50 MG TABLET</t>
  </si>
  <si>
    <t>TIVICAY</t>
  </si>
  <si>
    <t>59417010310</t>
  </si>
  <si>
    <t>VYVANSE 30 MG CAPSULE</t>
  </si>
  <si>
    <t>Takeda</t>
  </si>
  <si>
    <t>VYVANSE</t>
  </si>
  <si>
    <t>00169770521</t>
  </si>
  <si>
    <t>NORDITROPIN FLEXPRO 10 MG/1.5</t>
  </si>
  <si>
    <t>00002145780</t>
  </si>
  <si>
    <t>MOUNJARO 15 MG/0.5 ML PEN</t>
  </si>
  <si>
    <t>49702023113</t>
  </si>
  <si>
    <t>TRIUMEQ 600-50-300 MG TABLET</t>
  </si>
  <si>
    <t>TRIUMEQ</t>
  </si>
  <si>
    <t>00074433902</t>
  </si>
  <si>
    <t>HUMIRA PEN 40 MG/0.8 ML</t>
  </si>
  <si>
    <t>59417010410</t>
  </si>
  <si>
    <t>VYVANSE 40 MG CAPSULE</t>
  </si>
  <si>
    <t>00002143611</t>
  </si>
  <si>
    <t>EMGALITY 120 MG/ML PEN</t>
  </si>
  <si>
    <t>EMGALITY</t>
  </si>
  <si>
    <t>61874014530</t>
  </si>
  <si>
    <t>VRAYLAR 4.5 MG CAPSULE</t>
  </si>
  <si>
    <t>00078087463</t>
  </si>
  <si>
    <t>KISQALI 600 MG DAILY DOSE</t>
  </si>
  <si>
    <t>KISQALI</t>
  </si>
  <si>
    <t>00074231030</t>
  </si>
  <si>
    <t>RINVOQ ER 30 MG TABLET</t>
  </si>
  <si>
    <t>61958210101</t>
  </si>
  <si>
    <t>ODEFSEY TABLET</t>
  </si>
  <si>
    <t>ODEFSEY</t>
  </si>
  <si>
    <t>50242010040</t>
  </si>
  <si>
    <t>PULMOZYME 1 MG/ML AMPUL</t>
  </si>
  <si>
    <t>Roche</t>
  </si>
  <si>
    <t>PULMOZYME</t>
  </si>
  <si>
    <t>00074709430</t>
  </si>
  <si>
    <t>QULIPTA 60 MG TABLET</t>
  </si>
  <si>
    <t>QULIPTA</t>
  </si>
  <si>
    <t>00006027731</t>
  </si>
  <si>
    <t>JANUVIA 100 MG TABLET</t>
  </si>
  <si>
    <t>Merck (MSD)</t>
  </si>
  <si>
    <t>JANUVIA</t>
  </si>
  <si>
    <t>00456120230</t>
  </si>
  <si>
    <t>LINZESS 290 MCG CAPSULE</t>
  </si>
  <si>
    <t>00074024302</t>
  </si>
  <si>
    <t>HUMIRA(CF) 40 MG/0.4 ML SYRINGE</t>
  </si>
  <si>
    <t>00023916360</t>
  </si>
  <si>
    <t>RESTASIS 0.05% EYE EMULSION</t>
  </si>
  <si>
    <t>RESTASIS</t>
  </si>
  <si>
    <t>00002245780</t>
  </si>
  <si>
    <t>ZEPBOUND 15 MG/0.5 ML PEN</t>
  </si>
  <si>
    <t>00597015390</t>
  </si>
  <si>
    <t>00003218851</t>
  </si>
  <si>
    <t>ORENCIA CLICKJECT 125 MG/ML</t>
  </si>
  <si>
    <t>ORENCIA</t>
  </si>
  <si>
    <t>61958250103</t>
  </si>
  <si>
    <t>00002822259</t>
  </si>
  <si>
    <t>INSULIN LISPRO 100 UNIT/ML KWIKPEN</t>
  </si>
  <si>
    <t>INSULIN LISPRO</t>
  </si>
  <si>
    <t>00003089321</t>
  </si>
  <si>
    <t>ELIQUIS 2.5 MG TABLET</t>
  </si>
  <si>
    <t>59417010510</t>
  </si>
  <si>
    <t>VYVANSE 50 MG CAPSULE</t>
  </si>
  <si>
    <t>59148003713</t>
  </si>
  <si>
    <t>REXULTI 1 MG TABLET</t>
  </si>
  <si>
    <t>REXULTI</t>
  </si>
  <si>
    <t>00597010061</t>
  </si>
  <si>
    <t>SPIRIVA RESPIMAT 2.5 MCG INH</t>
  </si>
  <si>
    <t>SPIRIVA RESPIMAT</t>
  </si>
  <si>
    <t>00078086742</t>
  </si>
  <si>
    <t>KISQALI 400 MG DAILY DOSE</t>
  </si>
  <si>
    <t>00078063968</t>
  </si>
  <si>
    <t>COSENTYX SENSOREADY 150 MG/ML PEN</t>
  </si>
  <si>
    <t>50881000705</t>
  </si>
  <si>
    <t>OPZELURA 1.5% CREAM</t>
  </si>
  <si>
    <t>Incyte</t>
  </si>
  <si>
    <t>OPZELURA</t>
  </si>
  <si>
    <t>00002146080</t>
  </si>
  <si>
    <t>MOUNJARO 12.5 MG/0.5 ML PEN</t>
  </si>
  <si>
    <t>59417010210</t>
  </si>
  <si>
    <t>VYVANSE 20 MG CAPSULE</t>
  </si>
  <si>
    <t>65757040303</t>
  </si>
  <si>
    <t>ARISTADA ER 882 MG/3.2 ML SYRN</t>
  </si>
  <si>
    <t>ARISTADA</t>
  </si>
  <si>
    <t>50474071079</t>
  </si>
  <si>
    <t>CIMZIA 2X200 MG/ML SYRINGE KIT</t>
  </si>
  <si>
    <t>CIMZIA</t>
  </si>
  <si>
    <t>59148003813</t>
  </si>
  <si>
    <t>REXULTI 2 MG TABLET</t>
  </si>
  <si>
    <t>00310620530</t>
  </si>
  <si>
    <t>FARXIGA 5 MG TABLET</t>
  </si>
  <si>
    <t>00078077720</t>
  </si>
  <si>
    <t>ENTRESTO 49 MG-51 MG TABLET</t>
  </si>
  <si>
    <t>59148011480</t>
  </si>
  <si>
    <t>ABILIFY ASIMTUFII 960 MG/3.2 ML</t>
  </si>
  <si>
    <t>ABILIFY ASIMTUFII</t>
  </si>
  <si>
    <t>66993007996</t>
  </si>
  <si>
    <t>FLUTICASONE PROPIONATE HFA 110 MCG INHALER</t>
  </si>
  <si>
    <t>Prasco</t>
  </si>
  <si>
    <t>FLUTICASONE PROPIONATE</t>
  </si>
  <si>
    <t>61874016030</t>
  </si>
  <si>
    <t>VRAYLAR 6 MG CAPSULE</t>
  </si>
  <si>
    <t>00456120330</t>
  </si>
  <si>
    <t>LINZESS 72 MCG CAPSULE</t>
  </si>
  <si>
    <t>00002246080</t>
  </si>
  <si>
    <t>ZEPBOUND 12.5 MG/0.5 ML PEN</t>
  </si>
  <si>
    <t>00597015290</t>
  </si>
  <si>
    <t>00013264681</t>
  </si>
  <si>
    <t>GENOTROPIN 12 MG CARTRIDGE</t>
  </si>
  <si>
    <t>GENOTROPIN</t>
  </si>
  <si>
    <t>00069050130</t>
  </si>
  <si>
    <t>XELJANZ XR 11 MG TABLET</t>
  </si>
  <si>
    <t>XELJANZ</t>
  </si>
  <si>
    <t>66993007896</t>
  </si>
  <si>
    <t>FLUTICASONE PROPIONATE HFA 44 MCG INHALER</t>
  </si>
  <si>
    <t>51759020210</t>
  </si>
  <si>
    <t>AJOVY 225 MG/1.5 ML AUTOINJECT</t>
  </si>
  <si>
    <t>Teva</t>
  </si>
  <si>
    <t>AJOVY</t>
  </si>
  <si>
    <t>00032263601</t>
  </si>
  <si>
    <t>CREON DR 24,000 UNIT CAPSULE</t>
  </si>
  <si>
    <t>00173086910</t>
  </si>
  <si>
    <t>ANORO ELLIPTA 62.5-25 MCG INH</t>
  </si>
  <si>
    <t>ANORO ELLIPTA</t>
  </si>
  <si>
    <t>00074104328</t>
  </si>
  <si>
    <t>RINVOQ ER 45 MG TABLET</t>
  </si>
  <si>
    <t>66993001968</t>
  </si>
  <si>
    <t>ALBUTEROL HFA 90 MCG INHALER</t>
  </si>
  <si>
    <t>ALBUTEROL SULFATE</t>
  </si>
  <si>
    <t>00002771559</t>
  </si>
  <si>
    <t>BASAGLAR 100 UNIT/ML KWIKPEN</t>
  </si>
  <si>
    <t>BASAGLAR</t>
  </si>
  <si>
    <t>17772013330</t>
  </si>
  <si>
    <t>QELBREE ER 200 MG CAPSULE</t>
  </si>
  <si>
    <t>Supernus</t>
  </si>
  <si>
    <t>QELBREE</t>
  </si>
  <si>
    <t>50474077066</t>
  </si>
  <si>
    <t>BRIVIACT 100 MG TABLET</t>
  </si>
  <si>
    <t>BRIVIACT</t>
  </si>
  <si>
    <t>61958230101</t>
  </si>
  <si>
    <t>VEMLIDY 25 MG TABLET</t>
  </si>
  <si>
    <t>VEMLIDY</t>
  </si>
  <si>
    <t>00074105001</t>
  </si>
  <si>
    <t>SKYRIZI 150 MG/ML SYRINGE</t>
  </si>
  <si>
    <t>58406002104</t>
  </si>
  <si>
    <t>ENBREL 50 MG/ML SYRINGE</t>
  </si>
  <si>
    <t>00074012403</t>
  </si>
  <si>
    <t>HUMIRA(CF) PEN CROHN'S-UC-HS STARTER 80 MG/0.8 ML</t>
  </si>
  <si>
    <t>00078069620</t>
  </si>
  <si>
    <t>ENTRESTO 97 MG-103 MG TABLET</t>
  </si>
  <si>
    <t>50458060801</t>
  </si>
  <si>
    <t>INVEGA TRINZA 546 MG/1.75 ML</t>
  </si>
  <si>
    <t>72252051005</t>
  </si>
  <si>
    <t>VALTOCO 10 MG NASAL SPRAY</t>
  </si>
  <si>
    <t>Neurelis</t>
  </si>
  <si>
    <t>VALTOCO</t>
  </si>
  <si>
    <t>50474078185</t>
  </si>
  <si>
    <t>BIMZELX 160 MG/ML AUTOINJECTOR</t>
  </si>
  <si>
    <t>00173069600</t>
  </si>
  <si>
    <t>ADVAIR 250-50 DISKUS</t>
  </si>
  <si>
    <t>ADVAIR</t>
  </si>
  <si>
    <t>50458058601</t>
  </si>
  <si>
    <t>CONCERTA ER 36 MG TABLET</t>
  </si>
  <si>
    <t>CONCERTA</t>
  </si>
  <si>
    <t>68546017260</t>
  </si>
  <si>
    <t>AUSTEDO 12 MG TABLET</t>
  </si>
  <si>
    <t>AUSTEDO</t>
  </si>
  <si>
    <t>00169431430</t>
  </si>
  <si>
    <t>RYBELSUS 14 MG TABLET</t>
  </si>
  <si>
    <t>RYBELSUS</t>
  </si>
  <si>
    <t>70370106001</t>
  </si>
  <si>
    <t>INGREZZA 60 MG CAPSULE</t>
  </si>
  <si>
    <t>00310461612</t>
  </si>
  <si>
    <t>BREZTRI AEROSPHERE 160-9-4.8 MCG</t>
  </si>
  <si>
    <t>BREZTRI</t>
  </si>
  <si>
    <t>12496121203</t>
  </si>
  <si>
    <t>SUBOXONE 12 MG-3 MG SL FILM</t>
  </si>
  <si>
    <t>59148004580</t>
  </si>
  <si>
    <t>ABILIFY MAINTENA ER 300 MG SYR</t>
  </si>
  <si>
    <t>49702024213</t>
  </si>
  <si>
    <t>JULUCA 50-25 MG TABLET</t>
  </si>
  <si>
    <t>JULUCA</t>
  </si>
  <si>
    <t>81968004560</t>
  </si>
  <si>
    <t>AUVELITY ER 45-105 MG TABLET</t>
  </si>
  <si>
    <t>Axsome</t>
  </si>
  <si>
    <t>AUVELITY</t>
  </si>
  <si>
    <t>59417010610</t>
  </si>
  <si>
    <t>VYVANSE 60 MG CAPSULE</t>
  </si>
  <si>
    <t>00069100101</t>
  </si>
  <si>
    <t>XELJANZ 5 MG TABLET</t>
  </si>
  <si>
    <t>72511076002</t>
  </si>
  <si>
    <t>REPATHA 140 MG/ML SURECLICK</t>
  </si>
  <si>
    <t>REPATHA</t>
  </si>
  <si>
    <t>00169430730</t>
  </si>
  <si>
    <t>RYBELSUS 7 MG TABLET</t>
  </si>
  <si>
    <t>59417010710</t>
  </si>
  <si>
    <t>VYVANSE 70 MG CAPSULE</t>
  </si>
  <si>
    <t>55513084301</t>
  </si>
  <si>
    <t>AIMOVIG 140 MG/ML AUTOINJECTOR</t>
  </si>
  <si>
    <t>AIMOVIG</t>
  </si>
  <si>
    <t>64764075030</t>
  </si>
  <si>
    <t>TRINTELLIX 20 MG TABLET</t>
  </si>
  <si>
    <t>TRINTELLIX</t>
  </si>
  <si>
    <t>50474050015</t>
  </si>
  <si>
    <t>NAYZILAM 5 MG NASAL SPRAY</t>
  </si>
  <si>
    <t>NAYZILAM</t>
  </si>
  <si>
    <t>00597014030</t>
  </si>
  <si>
    <t>TRADJENTA 5 MG TABLET</t>
  </si>
  <si>
    <t>TRADJENTA</t>
  </si>
  <si>
    <t>66993045730</t>
  </si>
  <si>
    <t>DAPAGLIFLOZIN 10 MG TABLET</t>
  </si>
  <si>
    <t>DAPAGLIFLOZIN</t>
  </si>
  <si>
    <t>00597007541</t>
  </si>
  <si>
    <t>SPIRIVA HANDIHALER 18 MCG CAP</t>
  </si>
  <si>
    <t>SPIRIVA</t>
  </si>
  <si>
    <t>00597002402</t>
  </si>
  <si>
    <t>COMBIVENT RESPIMAT 20-100 MCG</t>
  </si>
  <si>
    <t>COMBIVENT RESPIMAT</t>
  </si>
  <si>
    <t>49502010202</t>
  </si>
  <si>
    <t>EPINEPHRINE 0.3 MG AUTO-INJECT</t>
  </si>
  <si>
    <t>Viatris</t>
  </si>
  <si>
    <t>EPINEPHRINE</t>
  </si>
  <si>
    <t>72060012140</t>
  </si>
  <si>
    <t>CAPLYTA 21 MG CAPSULE</t>
  </si>
  <si>
    <t>57894006003</t>
  </si>
  <si>
    <t>STELARA 45 MG/0.5 ML SYRINGE</t>
  </si>
  <si>
    <t>00003085222</t>
  </si>
  <si>
    <t>SPRYCEL 100 MG TABLET</t>
  </si>
  <si>
    <t>SPRYCEL</t>
  </si>
  <si>
    <t>78206012601</t>
  </si>
  <si>
    <t>DULERA 200 MCG-5 MCG INHALER</t>
  </si>
  <si>
    <t>Organon</t>
  </si>
  <si>
    <t>DULERA</t>
  </si>
  <si>
    <t>59676057530</t>
  </si>
  <si>
    <t>PREZCOBIX 800 MG-150 MG TABLET</t>
  </si>
  <si>
    <t>PREZCOBIX</t>
  </si>
  <si>
    <t>00597016061</t>
  </si>
  <si>
    <t>SPIRIVA RESPIMAT 1.25 MCG INH</t>
  </si>
  <si>
    <t>50458056201</t>
  </si>
  <si>
    <t>INVEGA SUSTENNA 117 MG/0.75 ML</t>
  </si>
  <si>
    <t>59148003613</t>
  </si>
  <si>
    <t>REXULTI 0.5 MG TABLET</t>
  </si>
  <si>
    <t>65757040403</t>
  </si>
  <si>
    <t>ARISTADA ER 1,064 MG/3.9 ML SYR</t>
  </si>
  <si>
    <t>73562011401</t>
  </si>
  <si>
    <t>ZENPEP DR 40,000 UNIT CAPSULE</t>
  </si>
  <si>
    <t>Aimmune</t>
  </si>
  <si>
    <t>ZENPEP</t>
  </si>
  <si>
    <t>24208091112</t>
  </si>
  <si>
    <t>XIIDRA 5% EYE DROPS</t>
  </si>
  <si>
    <t>XIIDRA</t>
  </si>
  <si>
    <t>59148024512</t>
  </si>
  <si>
    <t>ABILIFY MAINTENA ER 400 MG VL</t>
  </si>
  <si>
    <t>00186077760</t>
  </si>
  <si>
    <t>BRILINTA 90 MG TABLET</t>
  </si>
  <si>
    <t>BRILINTA</t>
  </si>
  <si>
    <t>51759063010</t>
  </si>
  <si>
    <t>UZEDY ER 125 MG/0.35 ML SYRING</t>
  </si>
  <si>
    <t>UZEDY</t>
  </si>
  <si>
    <t>00430042014</t>
  </si>
  <si>
    <t>LO LOESTRIN FE 1-10 TABLET</t>
  </si>
  <si>
    <t>LO LOESTRIN FE</t>
  </si>
  <si>
    <t>00642747001</t>
  </si>
  <si>
    <t>SLYND 4 MG TABLET</t>
  </si>
  <si>
    <t>Exeltis</t>
  </si>
  <si>
    <t>SLYND</t>
  </si>
  <si>
    <t>50458061201</t>
  </si>
  <si>
    <t>INVEGA HAFYERA 1,560 MG/5 ML</t>
  </si>
  <si>
    <t>INVEGA HAFYERA</t>
  </si>
  <si>
    <t>71699020030</t>
  </si>
  <si>
    <t>XCOPRI 200 MG TABLET</t>
  </si>
  <si>
    <t>SK Life Science</t>
  </si>
  <si>
    <t>XCOPRI</t>
  </si>
  <si>
    <t>57894064001</t>
  </si>
  <si>
    <t>TREMFYA 100 MG/ML SYRINGE</t>
  </si>
  <si>
    <t>64764073030</t>
  </si>
  <si>
    <t>TRINTELLIX 10 MG TABLET</t>
  </si>
  <si>
    <t>00002771227</t>
  </si>
  <si>
    <t>HUMALOG 200 UNIT/ML KWIKPEN</t>
  </si>
  <si>
    <t>HUMALOG</t>
  </si>
  <si>
    <t>50458058801</t>
  </si>
  <si>
    <t>CONCERTA ER 27 MG TABLET</t>
  </si>
  <si>
    <t>50458058701</t>
  </si>
  <si>
    <t>CONCERTA ER 54 MG TABLET</t>
  </si>
  <si>
    <t>60505082901</t>
  </si>
  <si>
    <t>FLUTICASONE PROP 50 MCG SPRAY</t>
  </si>
  <si>
    <t>Apotex</t>
  </si>
  <si>
    <t>FLUTICASONE</t>
  </si>
  <si>
    <t>68546047456</t>
  </si>
  <si>
    <t>AUSTEDO XR 36 MG TABLET</t>
  </si>
  <si>
    <t>AUSTEDO XR</t>
  </si>
  <si>
    <t>59148003913</t>
  </si>
  <si>
    <t>REXULTI 3 MG TABLET</t>
  </si>
  <si>
    <t>59148001971</t>
  </si>
  <si>
    <t>ABILIFY</t>
  </si>
  <si>
    <t>00023650116</t>
  </si>
  <si>
    <t>00597015561</t>
  </si>
  <si>
    <t>STIOLTO RESPIMAT INHALER (60)</t>
  </si>
  <si>
    <t>STIOLTO RESPIMAT</t>
  </si>
  <si>
    <t>00069504530</t>
  </si>
  <si>
    <t>PAXLOVID 300-100 MG DOSE PACK</t>
  </si>
  <si>
    <t>PAXLOVID</t>
  </si>
  <si>
    <t>58406004404</t>
  </si>
  <si>
    <t>ENBREL 50 MG/ML MINI CARTRIDGE</t>
  </si>
  <si>
    <t>00603188016</t>
  </si>
  <si>
    <t>LIDOCAINE 5% PATCH</t>
  </si>
  <si>
    <t>Par Health</t>
  </si>
  <si>
    <t>LIDOCAINE</t>
  </si>
  <si>
    <t>55513073001</t>
  </si>
  <si>
    <t>XGEVA 120 MG/1.7 ML VIAL</t>
  </si>
  <si>
    <t>XGEVA</t>
  </si>
  <si>
    <t>69557011130</t>
  </si>
  <si>
    <t>ZTLIDO 1.8% TOPICAL SYSTEM</t>
  </si>
  <si>
    <t>Scilex</t>
  </si>
  <si>
    <t>ZTLIDO</t>
  </si>
  <si>
    <t>73154005060</t>
  </si>
  <si>
    <t>IBSRELA 50 MG TABLET</t>
  </si>
  <si>
    <t>Ardelyx</t>
  </si>
  <si>
    <t>IBSRELA</t>
  </si>
  <si>
    <t>59417010110</t>
  </si>
  <si>
    <t>VYVANSE 10 MG CAPSULE</t>
  </si>
  <si>
    <t>00002882427</t>
  </si>
  <si>
    <t>HUMULIN R 500 UNIT/ML KWIKPEN</t>
  </si>
  <si>
    <t>HUMULIN</t>
  </si>
  <si>
    <t>73070010315</t>
  </si>
  <si>
    <t>INSULIN ASPART FLEXPEN 100 UNIT/ML PEN</t>
  </si>
  <si>
    <t>INSULIN ASPART</t>
  </si>
  <si>
    <t>50474087015</t>
  </si>
  <si>
    <t>BRIVIACT 10 MG/ML ORAL SOLN</t>
  </si>
  <si>
    <t>00169255013</t>
  </si>
  <si>
    <t>TRESIBA FLEXTOUCH 200 UNIT/ML</t>
  </si>
  <si>
    <t>TRESIBA</t>
  </si>
  <si>
    <t>00169266015</t>
  </si>
  <si>
    <t>TRESIBA FLEXTOUCH 100 UNIT/ML</t>
  </si>
  <si>
    <t>68546047256</t>
  </si>
  <si>
    <t>AUSTEDO XR 24 MG TABLET</t>
  </si>
  <si>
    <t>50458058501</t>
  </si>
  <si>
    <t>CONCERTA ER 18 MG TABLET</t>
  </si>
  <si>
    <t>00023649810</t>
  </si>
  <si>
    <t>UBRELVY 50 MG TABLET</t>
  </si>
  <si>
    <t>50474057066</t>
  </si>
  <si>
    <t>BRIVIACT 50 MG TABLET</t>
  </si>
  <si>
    <t>00054327099</t>
  </si>
  <si>
    <t>Hikma</t>
  </si>
  <si>
    <t>68180096301</t>
  </si>
  <si>
    <t>Lupin</t>
  </si>
  <si>
    <t>ALBUTEROL</t>
  </si>
  <si>
    <t>78206012701</t>
  </si>
  <si>
    <t>DULERA 100 MCG-5 MCG INHALER</t>
  </si>
  <si>
    <t>00002144527</t>
  </si>
  <si>
    <t>TALTZ 80 MG/ML AUTOINJECTOR (2-PACK)</t>
  </si>
  <si>
    <t>43598058230</t>
  </si>
  <si>
    <t>BUPRENORPHINE-NALOXONE 8-2 MG SL FILM</t>
  </si>
  <si>
    <t>Dr. Reddy's</t>
  </si>
  <si>
    <t>BUPRENORPHINE; NALOXONE</t>
  </si>
  <si>
    <t>65757065242</t>
  </si>
  <si>
    <t>LYBALVI 10-10 MG TABLET</t>
  </si>
  <si>
    <t>LYBALVI</t>
  </si>
  <si>
    <t>47781035703</t>
  </si>
  <si>
    <t>Alvogen</t>
  </si>
  <si>
    <t>00173071620</t>
  </si>
  <si>
    <t>ADVAIR HFA 115-21 MCG INHALER</t>
  </si>
  <si>
    <t>ADVAIR HFA</t>
  </si>
  <si>
    <t>00093317431</t>
  </si>
  <si>
    <t>50242014301</t>
  </si>
  <si>
    <t>ACTEMRA ACTPEN 162 MG/0.9 ML</t>
  </si>
  <si>
    <t>ACTEMRA ACTPEN</t>
  </si>
  <si>
    <t>65757065442</t>
  </si>
  <si>
    <t>LYBALVI 20-10 MG TABLET</t>
  </si>
  <si>
    <t>00006536403</t>
  </si>
  <si>
    <t>STEGLATRO 15 MG TABLET</t>
  </si>
  <si>
    <t>STEGLATRO</t>
  </si>
  <si>
    <t>00548835202</t>
  </si>
  <si>
    <t>BAQSIMI 3 MG SPRAY TWO PACK</t>
  </si>
  <si>
    <t>Amphastar</t>
  </si>
  <si>
    <t>BAQSIMI</t>
  </si>
  <si>
    <t>00173071720</t>
  </si>
  <si>
    <t>ADVAIR HFA 230-21 MCG INHALER</t>
  </si>
  <si>
    <t>00074379902</t>
  </si>
  <si>
    <t>HUMIRA 40 MG/0.8 ML SYRINGE</t>
  </si>
  <si>
    <t>61958220101</t>
  </si>
  <si>
    <t>EPCLUSA 400 MG-100 MG TABLET</t>
  </si>
  <si>
    <t>EPCLUSA</t>
  </si>
  <si>
    <t>00173069700</t>
  </si>
  <si>
    <t>ADVAIR 500-50 DISKUS</t>
  </si>
  <si>
    <t>50458058030</t>
  </si>
  <si>
    <t>XARELTO 10 MG TABLET</t>
  </si>
  <si>
    <t>55724021121</t>
  </si>
  <si>
    <t>EUCRISA 2% OINTMENT</t>
  </si>
  <si>
    <t>EUCRISA</t>
  </si>
  <si>
    <t>72252051510</t>
  </si>
  <si>
    <t>VALTOCO 15 MG NASAL SPRAY</t>
  </si>
  <si>
    <t>00173087310</t>
  </si>
  <si>
    <t>INCRUSE ELLIPTA 62.5 MCG INH</t>
  </si>
  <si>
    <t>INCRUSE ELLIPTA</t>
  </si>
  <si>
    <t>00006057761</t>
  </si>
  <si>
    <t>JANUMET 50-1,000 MG TABLET</t>
  </si>
  <si>
    <t>JANUMET</t>
  </si>
  <si>
    <t>72511039302</t>
  </si>
  <si>
    <t>00093598627</t>
  </si>
  <si>
    <t>51759052010</t>
  </si>
  <si>
    <t>UZEDY ER 100 MG/0.28 ML SYRING</t>
  </si>
  <si>
    <t>00115169449</t>
  </si>
  <si>
    <t>78206018701</t>
  </si>
  <si>
    <t>HADLIMA(CF) PUSHTOUCH 40 MG/0.4 ML</t>
  </si>
  <si>
    <t>HADLIMA</t>
  </si>
  <si>
    <t>57894065102</t>
  </si>
  <si>
    <t>TREMFYA 200 MG/2 ML PEN</t>
  </si>
  <si>
    <t>15370017060</t>
  </si>
  <si>
    <t>RELAFEN DS 1,000 MG TABLET</t>
  </si>
  <si>
    <t>Carwin Associates</t>
  </si>
  <si>
    <t>NABUMETONE</t>
  </si>
  <si>
    <t>00002879959</t>
  </si>
  <si>
    <t>HUMALOG 100 UNIT/ML KWIKPEN</t>
  </si>
  <si>
    <t>68546017060</t>
  </si>
  <si>
    <t>AUSTEDO 6 MG TABLET</t>
  </si>
  <si>
    <t>00074061602</t>
  </si>
  <si>
    <t>HUMIRA(CF) 20 MG/0.2 ML SYRINGE</t>
  </si>
  <si>
    <t>00169430330</t>
  </si>
  <si>
    <t>RYBELSUS 3 MG TABLET</t>
  </si>
  <si>
    <t>00078063998</t>
  </si>
  <si>
    <t>COSENTYX (150 MG/ML) 300 MG DOSE-2 SYRINGES</t>
  </si>
  <si>
    <t>00002777211</t>
  </si>
  <si>
    <t>EBGLYSS 250 MG/2 ML PEN</t>
  </si>
  <si>
    <t>EBGLYSS</t>
  </si>
  <si>
    <t>81672505101</t>
  </si>
  <si>
    <t>VTAMA 1% CREAM</t>
  </si>
  <si>
    <t>Dermavant Sciences</t>
  </si>
  <si>
    <t>VTAMA</t>
  </si>
  <si>
    <t>80610043060</t>
  </si>
  <si>
    <t>ZORYVE 0.3% FOAM</t>
  </si>
  <si>
    <t>Arcutis Biotherapeutics</t>
  </si>
  <si>
    <t>ZORYVE</t>
  </si>
  <si>
    <t>00002751001</t>
  </si>
  <si>
    <t>HUMALOG 100 UNIT/ML VIAL</t>
  </si>
  <si>
    <t>00024587102</t>
  </si>
  <si>
    <t>TOUJEO MAX SOLOSTR 300 UNIT/ML</t>
  </si>
  <si>
    <t>TOUJEO MAX</t>
  </si>
  <si>
    <t>00469266030</t>
  </si>
  <si>
    <t>VEOZAH 45 MG TABLET</t>
  </si>
  <si>
    <t>Unclassified</t>
  </si>
  <si>
    <t>Astellas</t>
  </si>
  <si>
    <t>VEOZAH</t>
  </si>
  <si>
    <t>17772013130</t>
  </si>
  <si>
    <t>QELBREE ER 100 MG CAPSULE</t>
  </si>
  <si>
    <t>57894007002</t>
  </si>
  <si>
    <t>SIMPONI 50 MG/0.5 ML PEN INJEC</t>
  </si>
  <si>
    <t>SIMPONI</t>
  </si>
  <si>
    <t>68546047656</t>
  </si>
  <si>
    <t>AUSTEDO XR 48 MG TABLET</t>
  </si>
  <si>
    <t>68546047356</t>
  </si>
  <si>
    <t>AUSTEDO XR 30 MG TABLET</t>
  </si>
  <si>
    <t>55513071021</t>
  </si>
  <si>
    <t>PROLIA 60 MG/ML SYRINGE</t>
  </si>
  <si>
    <t>PROLIA</t>
  </si>
  <si>
    <t>00006011231</t>
  </si>
  <si>
    <t>JANUVIA 50 MG TABLET</t>
  </si>
  <si>
    <t>49230064551</t>
  </si>
  <si>
    <t>VELPHORO 500 MG CHEWABLE TAB</t>
  </si>
  <si>
    <t>Fresenius Medical Care</t>
  </si>
  <si>
    <t>VELPHORO</t>
  </si>
  <si>
    <t>65757040203</t>
  </si>
  <si>
    <t>ARISTADA ER 662 MG/2.4 ML SYRN</t>
  </si>
  <si>
    <t>55513084101</t>
  </si>
  <si>
    <t>AIMOVIG 70 MG/ML AUTOINJECTOR</t>
  </si>
  <si>
    <t>00469260230</t>
  </si>
  <si>
    <t>MYRBETRIQ ER 50 MG TABLET</t>
  </si>
  <si>
    <t>MYRBETRIQ</t>
  </si>
  <si>
    <t>50419054001</t>
  </si>
  <si>
    <t>KERENDIA 10 MG TABLET</t>
  </si>
  <si>
    <t>Bayer</t>
  </si>
  <si>
    <t>KERENDIA</t>
  </si>
  <si>
    <t>00310908012</t>
  </si>
  <si>
    <t>AIRSUPRA 90-80 MCG INHALER</t>
  </si>
  <si>
    <t>AIRSUPRA</t>
  </si>
  <si>
    <t>50458057990</t>
  </si>
  <si>
    <t>17772013230</t>
  </si>
  <si>
    <t>QELBREE ER 150 MG CAPSULE</t>
  </si>
  <si>
    <t>00338004904</t>
  </si>
  <si>
    <t>SODIUM CHLORIDE 0.9% SOLUTION</t>
  </si>
  <si>
    <t>Baxter</t>
  </si>
  <si>
    <t>SODIUM CHLORIDE</t>
  </si>
  <si>
    <t>00078035752</t>
  </si>
  <si>
    <t>TRILEPTAL 300 MG/5 ML SUSP</t>
  </si>
  <si>
    <t>TRILEPTAL</t>
  </si>
  <si>
    <t>00006027754</t>
  </si>
  <si>
    <t>00054018913</t>
  </si>
  <si>
    <t>BUPRENORPHINE-NALOXONE 8-2 MG SL TABLET</t>
  </si>
  <si>
    <t>73336007530</t>
  </si>
  <si>
    <t>GEMTESA 75 MG TABLET</t>
  </si>
  <si>
    <t>Sumitomo</t>
  </si>
  <si>
    <t>GEMTESA</t>
  </si>
  <si>
    <t>00023916330</t>
  </si>
  <si>
    <t>71699010030</t>
  </si>
  <si>
    <t>XCOPRI 100 MG TABLET</t>
  </si>
  <si>
    <t>73070010011</t>
  </si>
  <si>
    <t>INSULIN ASPART 100 UNIT/ML VL</t>
  </si>
  <si>
    <t>59148004013</t>
  </si>
  <si>
    <t>REXULTI 4 MG TABLET</t>
  </si>
  <si>
    <t>00310737020</t>
  </si>
  <si>
    <t>BUDESONIDE-FORMOTEROL 160-4.5</t>
  </si>
  <si>
    <t>BUDESONIDE AND FORMOTEROL FUMARATE DIHYDRATE</t>
  </si>
  <si>
    <t>65757065142</t>
  </si>
  <si>
    <t>LYBALVI 5-10 MG TABLET</t>
  </si>
  <si>
    <t>00013262681</t>
  </si>
  <si>
    <t>GENOTROPIN 5 MG CARTRIDGE</t>
  </si>
  <si>
    <t>65757065342</t>
  </si>
  <si>
    <t>LYBALVI 15-10 MG TABLET</t>
  </si>
  <si>
    <t>59310030480</t>
  </si>
  <si>
    <t>QVAR REDIHALER 80 MCG</t>
  </si>
  <si>
    <t>QVAR REDIHALER</t>
  </si>
  <si>
    <t>68546017160</t>
  </si>
  <si>
    <t>AUSTEDO 9 MG TABLET</t>
  </si>
  <si>
    <t>72060011040</t>
  </si>
  <si>
    <t>CAPLYTA 10.5 MG CAPSULE</t>
  </si>
  <si>
    <t>00046087221</t>
  </si>
  <si>
    <t>PREMARIN VAGINAL CREAM-APPL</t>
  </si>
  <si>
    <t>PREMARIN</t>
  </si>
  <si>
    <t>52246092904</t>
  </si>
  <si>
    <t>NATROBA 0.9% TOPICAL SUSP</t>
  </si>
  <si>
    <t>Parapro</t>
  </si>
  <si>
    <t>NATROBA</t>
  </si>
  <si>
    <t>71699015030</t>
  </si>
  <si>
    <t>XCOPRI 150 MG TABLET</t>
  </si>
  <si>
    <t>00469052002</t>
  </si>
  <si>
    <t>CRESEMBA 186 MG CAPSULE</t>
  </si>
  <si>
    <t>CRESEMBA</t>
  </si>
  <si>
    <t>00378334053</t>
  </si>
  <si>
    <t>XULANE 150-35 MCG/DAY PATCH</t>
  </si>
  <si>
    <t>ETHINYL ESTRADIOL; NORELGESTROMIN</t>
  </si>
  <si>
    <t>50742036430</t>
  </si>
  <si>
    <t>Ingenus</t>
  </si>
  <si>
    <t>54092039101</t>
  </si>
  <si>
    <t>ADDERALL XR 30 MG CAPSULE</t>
  </si>
  <si>
    <t>ADDERALL</t>
  </si>
  <si>
    <t>00002773701</t>
  </si>
  <si>
    <t>INSULIN LISPRO 100 UNIT/ML VL</t>
  </si>
  <si>
    <t>54092038701</t>
  </si>
  <si>
    <t>ADDERALL XR 20 MG CAPSULE</t>
  </si>
  <si>
    <t>00469260130</t>
  </si>
  <si>
    <t>MYRBETRIQ ER 25 MG TABLET</t>
  </si>
  <si>
    <t>00088222033</t>
  </si>
  <si>
    <t>LANTUS 100 UNIT/ML VIAL</t>
  </si>
  <si>
    <t>LANTUS</t>
  </si>
  <si>
    <t>24478007401</t>
  </si>
  <si>
    <t>QUILLICHEW ER 20 MG CHEW TAB</t>
  </si>
  <si>
    <t>Nextwave</t>
  </si>
  <si>
    <t>QUILLICHEW ER</t>
  </si>
  <si>
    <t>62856058352</t>
  </si>
  <si>
    <t>BANZEL 400 MG TABLET</t>
  </si>
  <si>
    <t>Eisai</t>
  </si>
  <si>
    <t>BANZEL</t>
  </si>
  <si>
    <t>66993008096</t>
  </si>
  <si>
    <t>FLUTICASONE PROPIONATE HFA 220 MCG INHALER</t>
  </si>
  <si>
    <t>63402020830</t>
  </si>
  <si>
    <t>APTIOM 800 MG TABLET</t>
  </si>
  <si>
    <t>APTIOM</t>
  </si>
  <si>
    <t>00338011704</t>
  </si>
  <si>
    <t>LACTATED RINGERS INJECTION</t>
  </si>
  <si>
    <t>CALCIUM CHLORIDE; POTASSIUM CHLORIDE; SODIUM CHLORIDE; SODIUM LACTATE</t>
  </si>
  <si>
    <t>81968004530</t>
  </si>
  <si>
    <t>49502010102</t>
  </si>
  <si>
    <t>EPINEPHRINE 0.15 MG AUTO-INJCT</t>
  </si>
  <si>
    <t>24478032204</t>
  </si>
  <si>
    <t>QUILLIVANT XR 25 MG/5 ML SUSP</t>
  </si>
  <si>
    <t>QUILLIVANT</t>
  </si>
  <si>
    <t>68546032512</t>
  </si>
  <si>
    <t>COPAXONE 40 MG/ML SYRINGE</t>
  </si>
  <si>
    <t>COPAXONE</t>
  </si>
  <si>
    <t>00032004770</t>
  </si>
  <si>
    <t>CREON DR 12,000 UNIT CAPSULE</t>
  </si>
  <si>
    <t>69097014260</t>
  </si>
  <si>
    <t>Cipla</t>
  </si>
  <si>
    <t>00310111030</t>
  </si>
  <si>
    <t>LOKELMA 10 GRAM POWDER PACKET</t>
  </si>
  <si>
    <t>LOKELMA</t>
  </si>
  <si>
    <t>24208037705</t>
  </si>
  <si>
    <t>MIEBO 100% EYE DROP</t>
  </si>
  <si>
    <t>Bausch Lomb</t>
  </si>
  <si>
    <t>MIEBO</t>
  </si>
  <si>
    <t>00169280015</t>
  </si>
  <si>
    <t>SAXENDA 18 MG/3 ML PEN</t>
  </si>
  <si>
    <t>SAXENDA</t>
  </si>
  <si>
    <t>73059000160</t>
  </si>
  <si>
    <t>ACCRUFER 30 MG CAPSULE</t>
  </si>
  <si>
    <t>Shield Tx Uk</t>
  </si>
  <si>
    <t>ACCRUFER</t>
  </si>
  <si>
    <t>00310621090</t>
  </si>
  <si>
    <t>12496120403</t>
  </si>
  <si>
    <t>SUBOXONE 4 MG-1 MG SL FILM</t>
  </si>
  <si>
    <t>71376020303</t>
  </si>
  <si>
    <t>JORNAY PM 60 MG CAPSULE</t>
  </si>
  <si>
    <t>Ironshore</t>
  </si>
  <si>
    <t>JORNAY PM</t>
  </si>
  <si>
    <t>00093598527</t>
  </si>
  <si>
    <t>52652800101</t>
  </si>
  <si>
    <t>ZONISADE 100 MG/5 ML ORAL SUSP</t>
  </si>
  <si>
    <t>Azurity</t>
  </si>
  <si>
    <t>ZONISADE</t>
  </si>
  <si>
    <t>59310030240</t>
  </si>
  <si>
    <t>QVAR REDIHALER 40 MCG</t>
  </si>
  <si>
    <t>00169633910</t>
  </si>
  <si>
    <t>NOVOLOG 100 UNIT/ML FLEXPEN</t>
  </si>
  <si>
    <t>NOVOLOG</t>
  </si>
  <si>
    <t>68546047556</t>
  </si>
  <si>
    <t>AUSTEDO XR 42 MG TABLET</t>
  </si>
  <si>
    <t>00597016860</t>
  </si>
  <si>
    <t>SYNJARDY 12.5-1,000 MG TABLET</t>
  </si>
  <si>
    <t>SYNJARDY</t>
  </si>
  <si>
    <t>00173069500</t>
  </si>
  <si>
    <t>ADVAIR 100-50 DISKUS</t>
  </si>
  <si>
    <t>50458060701</t>
  </si>
  <si>
    <t>INVEGA TRINZA 410 MG/1.32 ML</t>
  </si>
  <si>
    <t>71376020203</t>
  </si>
  <si>
    <t>JORNAY PM 40 MG CAPSULE</t>
  </si>
  <si>
    <t>00597008717</t>
  </si>
  <si>
    <t>ATROVENT 17 MCG HFA INHALER</t>
  </si>
  <si>
    <t>ATROVENT</t>
  </si>
  <si>
    <t>74157001212</t>
  </si>
  <si>
    <t>HALCINONIDE 0.1% SOLUTION</t>
  </si>
  <si>
    <t>Ina Pharmaceutics</t>
  </si>
  <si>
    <t>HALCINONIDE</t>
  </si>
  <si>
    <t>65038042999</t>
  </si>
  <si>
    <t>AZSTARYS 39.2 MG-7.8 MG CAP</t>
  </si>
  <si>
    <t>Corium</t>
  </si>
  <si>
    <t>AZSTARYS</t>
  </si>
  <si>
    <t>00003218811</t>
  </si>
  <si>
    <t>ORENCIA 125 MG/ML SYRINGE</t>
  </si>
  <si>
    <t>17772012301</t>
  </si>
  <si>
    <t>OXTELLAR XR 600 MG TABLET</t>
  </si>
  <si>
    <t>OXTELLAR XR</t>
  </si>
  <si>
    <t>71699005030</t>
  </si>
  <si>
    <t>XCOPRI 50 MG TABLET</t>
  </si>
  <si>
    <t>00074709630</t>
  </si>
  <si>
    <t>QULIPTA 30 MG TABLET</t>
  </si>
  <si>
    <t>00002144509</t>
  </si>
  <si>
    <t>TALTZ 80 MG/ML AUTOINJECTOR (3-PACK)</t>
  </si>
  <si>
    <t>50458030811</t>
  </si>
  <si>
    <t>RISPERDAL CONSTA 50 MG VIAL</t>
  </si>
  <si>
    <t>RISPERDAL CONSTA</t>
  </si>
  <si>
    <t>68546047156</t>
  </si>
  <si>
    <t>AUSTEDO XR 12 MG TABLET</t>
  </si>
  <si>
    <t>00006022761</t>
  </si>
  <si>
    <t>ISENTRESS 400 MG TABLET</t>
  </si>
  <si>
    <t>ISENTRESS</t>
  </si>
  <si>
    <t>72974041501</t>
  </si>
  <si>
    <t>MYFEMBREE 40 MG-1 MG-0.5 MG TB</t>
  </si>
  <si>
    <t>MYFEMBREE</t>
  </si>
  <si>
    <t>59148005316</t>
  </si>
  <si>
    <t>NUEDEXTA 20-10 MG CAPSULE</t>
  </si>
  <si>
    <t>NUEDEXTA</t>
  </si>
  <si>
    <t>83257001532</t>
  </si>
  <si>
    <t>INSULIN GLARGINE-YFGN U100 PEN</t>
  </si>
  <si>
    <t>Biocon Biologics</t>
  </si>
  <si>
    <t>INSULIN GLARGINE</t>
  </si>
  <si>
    <t>83257000541</t>
  </si>
  <si>
    <t>FULPHILA 6 MG/0.6 ML SYRINGE</t>
  </si>
  <si>
    <t>FULPHILA</t>
  </si>
  <si>
    <t>67386031321</t>
  </si>
  <si>
    <t>ONFI 2.5 MG/ML SUSPENSION</t>
  </si>
  <si>
    <t>Lundbeck</t>
  </si>
  <si>
    <t>ONFI</t>
  </si>
  <si>
    <t>24478032102</t>
  </si>
  <si>
    <t>00480366722</t>
  </si>
  <si>
    <t>LIRAGLUTIDE 3-PAK 18 MG/3 ML</t>
  </si>
  <si>
    <t>LIRAGLUTIDE</t>
  </si>
  <si>
    <t>00024586903</t>
  </si>
  <si>
    <t>TOUJEO SOLOSTAR 300 UNIT/ML</t>
  </si>
  <si>
    <t>TOUJEO</t>
  </si>
  <si>
    <t>24478007501</t>
  </si>
  <si>
    <t>QUILLICHEW ER 30 MG CHEW TAB</t>
  </si>
  <si>
    <t>43598097710</t>
  </si>
  <si>
    <t>DICLOFENAC SODIUM 1% GEL</t>
  </si>
  <si>
    <t>DICLOFENAC</t>
  </si>
  <si>
    <t>45802057884</t>
  </si>
  <si>
    <t>NALOXONE HCL 4 MG NASAL SPRAY</t>
  </si>
  <si>
    <t>Padagis Israel</t>
  </si>
  <si>
    <t>NALOXONE</t>
  </si>
  <si>
    <t>80610013060</t>
  </si>
  <si>
    <t>ZORYVE 0.3% CREAM</t>
  </si>
  <si>
    <t>00024592201</t>
  </si>
  <si>
    <t>KEVZARA 200 MG/1.14 ML PEN INJ</t>
  </si>
  <si>
    <t>KEVZARA</t>
  </si>
  <si>
    <t>50458057760</t>
  </si>
  <si>
    <t>XARELTO 2.5 MG TABLET</t>
  </si>
  <si>
    <t>64764072030</t>
  </si>
  <si>
    <t>TRINTELLIX 5 MG TABLET</t>
  </si>
  <si>
    <t>72336006430</t>
  </si>
  <si>
    <t>METFORMIN HCL 625 MG TABLET</t>
  </si>
  <si>
    <t>Lifsa Drugs</t>
  </si>
  <si>
    <t>METFORMIN</t>
  </si>
  <si>
    <t>50458061101</t>
  </si>
  <si>
    <t>INVEGA HAFYERA 1,092 MG/3.5 ML</t>
  </si>
  <si>
    <t>80610011560</t>
  </si>
  <si>
    <t>ZORYVE 0.15% CREAM</t>
  </si>
  <si>
    <t>50458014130</t>
  </si>
  <si>
    <t>INVOKANA 300 MG TABLET</t>
  </si>
  <si>
    <t>INVOKANA</t>
  </si>
  <si>
    <t>72252052010</t>
  </si>
  <si>
    <t>VALTOCO 20 MG NASAL SPRAY</t>
  </si>
  <si>
    <t>49702025018</t>
  </si>
  <si>
    <t>RUKOBIA ER 600 MG TABLET</t>
  </si>
  <si>
    <t>RUKOBIA</t>
  </si>
  <si>
    <t>74157000660</t>
  </si>
  <si>
    <t>AMCINONIDE 0.1% CREAM</t>
  </si>
  <si>
    <t>AMCINONIDE</t>
  </si>
  <si>
    <t>51759085010</t>
  </si>
  <si>
    <t>UZEDY ER 200 MG/0.56 ML SYRING</t>
  </si>
  <si>
    <t>65038056199</t>
  </si>
  <si>
    <t>AZSTARYS 52.3 MG-10.4 MG CAP</t>
  </si>
  <si>
    <t>50458002802</t>
  </si>
  <si>
    <t>SPRAVATO 56 MG DOSE PACK</t>
  </si>
  <si>
    <t>71376020403</t>
  </si>
  <si>
    <t>JORNAY PM 80 MG CAPSULE</t>
  </si>
  <si>
    <t>50474078184</t>
  </si>
  <si>
    <t>50458057830</t>
  </si>
  <si>
    <t>XARELTO 15 MG TABLET</t>
  </si>
  <si>
    <t>69616029038</t>
  </si>
  <si>
    <t>FYCOMPA 0.5 MG/ML ORAL SUSP</t>
  </si>
  <si>
    <t>Catalyst</t>
  </si>
  <si>
    <t>FYCOMPA</t>
  </si>
  <si>
    <t>00548835101</t>
  </si>
  <si>
    <t>BAQSIMI 3 MG SPRAY ONE PACK</t>
  </si>
  <si>
    <t>72065012112</t>
  </si>
  <si>
    <t>GVOKE HYPOPEN 2-PK 1 MG/0.2 ML</t>
  </si>
  <si>
    <t>Xeris</t>
  </si>
  <si>
    <t>GVOKE HYPOPEN</t>
  </si>
  <si>
    <t>63402020660</t>
  </si>
  <si>
    <t>APTIOM 600 MG TABLET</t>
  </si>
  <si>
    <t>49502080693</t>
  </si>
  <si>
    <t>YUPELRI 175 MCG/3 ML SOLUTION</t>
  </si>
  <si>
    <t>YUPELRI</t>
  </si>
  <si>
    <t>00074366303</t>
  </si>
  <si>
    <t>LUPRON DEPOT 11.25 MG 3MO KIT</t>
  </si>
  <si>
    <t>LUPRON DEPOT</t>
  </si>
  <si>
    <t>00002840001</t>
  </si>
  <si>
    <t>FORTEO 560 MCG/2.24 ML PEN INJ</t>
  </si>
  <si>
    <t>FORTEO</t>
  </si>
  <si>
    <t>51759020410</t>
  </si>
  <si>
    <t>AJOVY 225 MG/1.5 ML SYRINGE</t>
  </si>
  <si>
    <t>54123095730</t>
  </si>
  <si>
    <t>ZUBSOLV 5.7-1.4 MG TABLET SL</t>
  </si>
  <si>
    <t>Orexo</t>
  </si>
  <si>
    <t>ZUBSOLV</t>
  </si>
  <si>
    <t>00310737220</t>
  </si>
  <si>
    <t>BUDESONIDE-FORMOTEROL 80-4.5</t>
  </si>
  <si>
    <t>59148010280</t>
  </si>
  <si>
    <t>ABILIFY ASIMTUFII 720 MG/2.4 ML</t>
  </si>
  <si>
    <t>00006536303</t>
  </si>
  <si>
    <t>STEGLATRO 5 MG TABLET</t>
  </si>
  <si>
    <t>00078063997</t>
  </si>
  <si>
    <t>COSENTYX 150 MG/ML SYRINGE</t>
  </si>
  <si>
    <t>59627033304</t>
  </si>
  <si>
    <t>AVONEX PEN 30 MCG/0.5 ML KIT (4 PACK)</t>
  </si>
  <si>
    <t>Biogen Idec Ma</t>
  </si>
  <si>
    <t>AVONEX</t>
  </si>
  <si>
    <t>71671010003</t>
  </si>
  <si>
    <t>TWIRLA 120-30 MCG/DAY PATCH</t>
  </si>
  <si>
    <t>Agile</t>
  </si>
  <si>
    <t>TWIRLA</t>
  </si>
  <si>
    <t>47335050696</t>
  </si>
  <si>
    <t>CEQUA 0.09% SOLUTION</t>
  </si>
  <si>
    <t>Sun Pharma</t>
  </si>
  <si>
    <t>CEQUA</t>
  </si>
  <si>
    <t>50474067066</t>
  </si>
  <si>
    <t>BRIVIACT 75 MG TABLET</t>
  </si>
  <si>
    <t>00003110060</t>
  </si>
  <si>
    <t>COBENFY 100 MG-20 MG CAPSULE</t>
  </si>
  <si>
    <t>COBENFY</t>
  </si>
  <si>
    <t>68180096412</t>
  </si>
  <si>
    <t>TIOTROPIUM 18 MCG CAP-INHALER</t>
  </si>
  <si>
    <t>TIOTROPIUM</t>
  </si>
  <si>
    <t>68462015713</t>
  </si>
  <si>
    <t>ONDANSETRON ODT 4 MG TABLET</t>
  </si>
  <si>
    <t>Glenmark</t>
  </si>
  <si>
    <t>ONDANSETRON</t>
  </si>
  <si>
    <t>00781618667</t>
  </si>
  <si>
    <t>CIPROFLOX-DEXAMETH OTIC SUSP</t>
  </si>
  <si>
    <t>Sandoz</t>
  </si>
  <si>
    <t>CIPROFLOXACIN AND DEXAMETHASONE</t>
  </si>
  <si>
    <t>65757040103</t>
  </si>
  <si>
    <t>ARISTADA ER 441 MG/1.6 ML SYRN</t>
  </si>
  <si>
    <t>65162035803</t>
  </si>
  <si>
    <t>ZAFEMY 150-35 MCG/DAY PATCH</t>
  </si>
  <si>
    <t>Amneal</t>
  </si>
  <si>
    <t>70710119003</t>
  </si>
  <si>
    <t>NORELGESTROM-EE 150-35 MCG/DAY</t>
  </si>
  <si>
    <t>Zydus</t>
  </si>
  <si>
    <t>00006306901</t>
  </si>
  <si>
    <t>PIFELTRO 100 MG TABLET</t>
  </si>
  <si>
    <t>PIFELTRO</t>
  </si>
  <si>
    <t>62856058446</t>
  </si>
  <si>
    <t>BANZEL 40 MG/ML SUSPENSION</t>
  </si>
  <si>
    <t>74157001660</t>
  </si>
  <si>
    <t>DICLOFENAC POT 25 MG TABLET</t>
  </si>
  <si>
    <t>00904675180</t>
  </si>
  <si>
    <t>ASPIRIN EC 81 MG TABLET</t>
  </si>
  <si>
    <t>Major</t>
  </si>
  <si>
    <t>ASPIRIN</t>
  </si>
  <si>
    <t>00002237711</t>
  </si>
  <si>
    <t>EMGALITY 120 MG/ML SYRINGE</t>
  </si>
  <si>
    <t>00006022131</t>
  </si>
  <si>
    <t>JANUVIA 25 MG TABLET</t>
  </si>
  <si>
    <t>73562011601</t>
  </si>
  <si>
    <t>ZENPEP DR 25,000 UNIT CAPSULE</t>
  </si>
  <si>
    <t>66993045630</t>
  </si>
  <si>
    <t>DAPAGLIFLOZIN 5 MG TABLET</t>
  </si>
  <si>
    <t>00409909422</t>
  </si>
  <si>
    <t>FENTANYL 100 MCG/2 ML VIAL</t>
  </si>
  <si>
    <t>FENTANYL</t>
  </si>
  <si>
    <t>00074364103</t>
  </si>
  <si>
    <t>LUPRON DEPOT 3.75 MG KIT</t>
  </si>
  <si>
    <t>42806054701</t>
  </si>
  <si>
    <t>VITAMIN D2 1.25 MG(50,000 UNIT)</t>
  </si>
  <si>
    <t>Epic</t>
  </si>
  <si>
    <t>ERGOCALCIFEROL</t>
  </si>
  <si>
    <t>64380073706</t>
  </si>
  <si>
    <t>Strides Science</t>
  </si>
  <si>
    <t>64896066930</t>
  </si>
  <si>
    <t>EMVERM 100 MG TABLET CHEW</t>
  </si>
  <si>
    <t>EMVERM</t>
  </si>
  <si>
    <t>00169770421</t>
  </si>
  <si>
    <t>NORDITROPIN FLEXPRO 5 MG/1.5</t>
  </si>
  <si>
    <t>00597030045</t>
  </si>
  <si>
    <t>SYNJARDY XR 12.5-1,000 MG TAB</t>
  </si>
  <si>
    <t>73562011201</t>
  </si>
  <si>
    <t>ZENPEP DR 20,000 UNIT CAPSULE</t>
  </si>
  <si>
    <t>81520020030</t>
  </si>
  <si>
    <t>VOQUEZNA 20 MG TABLET</t>
  </si>
  <si>
    <t>Phathom</t>
  </si>
  <si>
    <t>VOQUEZNA</t>
  </si>
  <si>
    <t>67386031401</t>
  </si>
  <si>
    <t>ONFI 10 MG TABLET</t>
  </si>
  <si>
    <t>55513071001</t>
  </si>
  <si>
    <t>61314032720</t>
  </si>
  <si>
    <t>ADALIMUMAB-ADAZ(CF) PEN 40 MG/0.4 ML</t>
  </si>
  <si>
    <t>ADALIMUMAB</t>
  </si>
  <si>
    <t>59148023212</t>
  </si>
  <si>
    <t>ABILIFY MAINTENA ER 300 MG VL</t>
  </si>
  <si>
    <t>57894064006</t>
  </si>
  <si>
    <t>TREMFYA 100 MG/ML PEN</t>
  </si>
  <si>
    <t>65862050320</t>
  </si>
  <si>
    <t>AMOX-CLAV 875-125 MG TABLET</t>
  </si>
  <si>
    <t>Aurobindo</t>
  </si>
  <si>
    <t>AMOXICILLIN; CLAVULANATE</t>
  </si>
  <si>
    <t>00169750111</t>
  </si>
  <si>
    <t>NOVOLOG 100 UNIT/ML VIAL</t>
  </si>
  <si>
    <t>47335099436</t>
  </si>
  <si>
    <t>WINLEVI 1% CREAM</t>
  </si>
  <si>
    <t>WINLEVI</t>
  </si>
  <si>
    <t>24478032305</t>
  </si>
  <si>
    <t>00024592505</t>
  </si>
  <si>
    <t>ADMELOG SOLOSTAR 100 UNIT/ML</t>
  </si>
  <si>
    <t>ADMELOG</t>
  </si>
  <si>
    <t>45802086803</t>
  </si>
  <si>
    <t>POLYETHYLENE GLYCOL 3350 POWD</t>
  </si>
  <si>
    <t>POLYETHYLENE GLYCOL 3350</t>
  </si>
  <si>
    <t>60505363103</t>
  </si>
  <si>
    <t>DASATINIB 100 MG TABLET</t>
  </si>
  <si>
    <t>DASATINIB</t>
  </si>
  <si>
    <t>82625880201</t>
  </si>
  <si>
    <t>MOVANTIK 25 MG TABLET</t>
  </si>
  <si>
    <t>Valinor</t>
  </si>
  <si>
    <t>MOVANTIK</t>
  </si>
  <si>
    <t>45802015065</t>
  </si>
  <si>
    <t>ALOGLIPTIN 25 MG TABLET</t>
  </si>
  <si>
    <t>ALOGLIPTIN</t>
  </si>
  <si>
    <t>00054074287</t>
  </si>
  <si>
    <t>00074611413</t>
  </si>
  <si>
    <t>DEPAKOTE DR 125 MG SPRINKLE CP</t>
  </si>
  <si>
    <t>DEPAKOTE</t>
  </si>
  <si>
    <t>24478014803</t>
  </si>
  <si>
    <t>ONYDA XR 0.1 MG/ML SUSPENSION</t>
  </si>
  <si>
    <t>ONYDA XR</t>
  </si>
  <si>
    <t>49702024633</t>
  </si>
  <si>
    <t>69097072044</t>
  </si>
  <si>
    <t>50458014030</t>
  </si>
  <si>
    <t>INVOKANA 100 MG TABLET</t>
  </si>
  <si>
    <t>72252050505</t>
  </si>
  <si>
    <t>VALTOCO 5 MG NASAL SPRAY</t>
  </si>
  <si>
    <t>51759040202</t>
  </si>
  <si>
    <t>SIMLANDI(CF) 40 MG/0.4 ML AUTOINJECTOR</t>
  </si>
  <si>
    <t>SIMLANDI</t>
  </si>
  <si>
    <t>00173088210</t>
  </si>
  <si>
    <t>BREO ELLIPTA 200-25 MCG INHALR</t>
  </si>
  <si>
    <t>BREO ELLIPTA</t>
  </si>
  <si>
    <t>00078082581</t>
  </si>
  <si>
    <t>SANDOSTATIN LAR DEPOT 30 MG KT</t>
  </si>
  <si>
    <t>SANDOSTATIN LAR DEPOT</t>
  </si>
  <si>
    <t>00069033530</t>
  </si>
  <si>
    <t>CIBINQO 100 MG TABLET</t>
  </si>
  <si>
    <t>CIBINQO</t>
  </si>
  <si>
    <t>00003005060</t>
  </si>
  <si>
    <t>COBENFY 50 MG-20 MG CAPSULE</t>
  </si>
  <si>
    <t>13811070810</t>
  </si>
  <si>
    <t>METHYLPHENIDATE ER 36 MG TAB</t>
  </si>
  <si>
    <t>Trigen</t>
  </si>
  <si>
    <t>METHYLPHENIDATE</t>
  </si>
  <si>
    <t>68546031730</t>
  </si>
  <si>
    <t>COPAXONE 20 MG/ML SYRINGE</t>
  </si>
  <si>
    <t>00069100201</t>
  </si>
  <si>
    <t>XELJANZ 10 MG TABLET</t>
  </si>
  <si>
    <t>50419054101</t>
  </si>
  <si>
    <t>KERENDIA 20 MG TABLET</t>
  </si>
  <si>
    <t>00121087416</t>
  </si>
  <si>
    <t>CETIRIZINE HCL 1 MG/ML SOLN</t>
  </si>
  <si>
    <t>PAI</t>
  </si>
  <si>
    <t>CETIRIZINE</t>
  </si>
  <si>
    <t>00143914403</t>
  </si>
  <si>
    <t>24478032406</t>
  </si>
  <si>
    <t>78206014603</t>
  </si>
  <si>
    <t>NUVARING VAGINAL RING</t>
  </si>
  <si>
    <t>NUVARING</t>
  </si>
  <si>
    <t>00597014860</t>
  </si>
  <si>
    <t>JENTADUETO 2.5 MG-1,000 MG TAB</t>
  </si>
  <si>
    <t>JENTADUETO</t>
  </si>
  <si>
    <t>31722084330</t>
  </si>
  <si>
    <t>ELTROMBOPAG 50 MG TABLET</t>
  </si>
  <si>
    <t>Camber (Hetero)</t>
  </si>
  <si>
    <t>ELTROMBOPAG OLAMINE</t>
  </si>
  <si>
    <t>00006500701</t>
  </si>
  <si>
    <t>DELSTRIGO 100-300-300 MG TAB</t>
  </si>
  <si>
    <t>DELSTRIGO</t>
  </si>
  <si>
    <t>00378876793</t>
  </si>
  <si>
    <t>00002775205</t>
  </si>
  <si>
    <t>INSULIN LISPRO JR 100 UNIT/ML KWIKPEN</t>
  </si>
  <si>
    <t>00074003828</t>
  </si>
  <si>
    <t>ORILISSA 150 MG TABLET</t>
  </si>
  <si>
    <t>ORILISSA</t>
  </si>
  <si>
    <t>71376020103</t>
  </si>
  <si>
    <t>JORNAY PM 20 MG CAPSULE</t>
  </si>
  <si>
    <t>54092038301</t>
  </si>
  <si>
    <t>ADDERALL XR 10 MG CAPSULE</t>
  </si>
  <si>
    <t>00781729685</t>
  </si>
  <si>
    <t>59651036205</t>
  </si>
  <si>
    <t>IBUPROFEN 800 MG TABLET</t>
  </si>
  <si>
    <t>IBUPROFEN</t>
  </si>
  <si>
    <t>00002447930</t>
  </si>
  <si>
    <t>OLUMIANT 4 MG TABLET</t>
  </si>
  <si>
    <t>OLUMIANT</t>
  </si>
  <si>
    <t>71376020503</t>
  </si>
  <si>
    <t>JORNAY PM 100 MG CAPSULE</t>
  </si>
  <si>
    <t>00173085910</t>
  </si>
  <si>
    <t>BREO ELLIPTA 100-25 MCG INHALR</t>
  </si>
  <si>
    <t>43068011202</t>
  </si>
  <si>
    <t>FANAPT 12 MG TABLET</t>
  </si>
  <si>
    <t>Vanda</t>
  </si>
  <si>
    <t>FANAPT</t>
  </si>
  <si>
    <t>73562011701</t>
  </si>
  <si>
    <t>ZENPEP DR 60,000 UNIT CAPSULE</t>
  </si>
  <si>
    <t>17772013360</t>
  </si>
  <si>
    <t>00169406013</t>
  </si>
  <si>
    <t>VICTOZA 3-PAK 18 MG/3 ML PEN</t>
  </si>
  <si>
    <t>VICTOZA</t>
  </si>
  <si>
    <t>72336009530</t>
  </si>
  <si>
    <t>METFORMIN HCL 750 MG TABLET</t>
  </si>
  <si>
    <t>45802046564</t>
  </si>
  <si>
    <t>KETOCONAZOLE 2% SHAMPOO</t>
  </si>
  <si>
    <t>KETOCONAZOLE</t>
  </si>
  <si>
    <t>52015008001</t>
  </si>
  <si>
    <t>DIFICID 200 MG TABLET</t>
  </si>
  <si>
    <t>DIFICID</t>
  </si>
  <si>
    <t>15370017030</t>
  </si>
  <si>
    <t>50474047066</t>
  </si>
  <si>
    <t>BRIVIACT 25 MG TABLET</t>
  </si>
  <si>
    <t>65862056099</t>
  </si>
  <si>
    <t>PANTOPRAZOLE SOD DR 40 MG TAB</t>
  </si>
  <si>
    <t>PANTOPRAZOLE</t>
  </si>
  <si>
    <t>57237007710</t>
  </si>
  <si>
    <t>Rising</t>
  </si>
  <si>
    <t>12496120203</t>
  </si>
  <si>
    <t>SUBOXONE 2 MG-0.5 MG SL FILM</t>
  </si>
  <si>
    <t>00143988701</t>
  </si>
  <si>
    <t>AMOXICILLIN 400 MG/5 ML SUSP</t>
  </si>
  <si>
    <t>AMOXICILLIN</t>
  </si>
  <si>
    <t>12496012001</t>
  </si>
  <si>
    <t>PERSERIS ER 120 MG SYRINGE KIT</t>
  </si>
  <si>
    <t>PERSERIS</t>
  </si>
  <si>
    <t>69452015120</t>
  </si>
  <si>
    <t>Bionpharma</t>
  </si>
  <si>
    <t>67386031501</t>
  </si>
  <si>
    <t>ONFI 20 MG TABLET</t>
  </si>
  <si>
    <t>58151008401</t>
  </si>
  <si>
    <t>CELEBREX 200 MG CAPSULE</t>
  </si>
  <si>
    <t>CELEBREX</t>
  </si>
  <si>
    <t>00121088508</t>
  </si>
  <si>
    <t>PREDNISOLONE 15 MG/5 ML SOLN</t>
  </si>
  <si>
    <t>PREDNISOLONE</t>
  </si>
  <si>
    <t>00173087410</t>
  </si>
  <si>
    <t>ARNUITY ELLIPTA 100 MCG INH</t>
  </si>
  <si>
    <t>ARNUITY ELLIPTA</t>
  </si>
  <si>
    <t>00173071520</t>
  </si>
  <si>
    <t>ADVAIR HFA 45-21 MCG INHALER</t>
  </si>
  <si>
    <t>55513036955</t>
  </si>
  <si>
    <t>OTEZLA 10-20-30 MG START 28 DAY</t>
  </si>
  <si>
    <t>00002418230</t>
  </si>
  <si>
    <t>OLUMIANT 2 MG TABLET</t>
  </si>
  <si>
    <t>00378750332</t>
  </si>
  <si>
    <t>BREYNA 160-4.5 MCG INHALER</t>
  </si>
  <si>
    <t>BUDESONIDE; FORMOTEROL</t>
  </si>
  <si>
    <t>00264775000</t>
  </si>
  <si>
    <t>B Braun Medical</t>
  </si>
  <si>
    <t>24478007601</t>
  </si>
  <si>
    <t>QUILLICHEW ER 40 MG CHEW TAB</t>
  </si>
  <si>
    <t>00597014090</t>
  </si>
  <si>
    <t>60505613005</t>
  </si>
  <si>
    <t>ONDANSETRON HCL 4 MG/2 ML VIAL</t>
  </si>
  <si>
    <t>00131248035</t>
  </si>
  <si>
    <t>VIMPAT 200 MG TABLET</t>
  </si>
  <si>
    <t>VIMPAT</t>
  </si>
  <si>
    <t>65038028699</t>
  </si>
  <si>
    <t>AZSTARYS 26.1 MG-5.2 MG CAP</t>
  </si>
  <si>
    <t>59011042010</t>
  </si>
  <si>
    <t>OXYCONTIN ER 20 MG TABLET</t>
  </si>
  <si>
    <t>Knoa</t>
  </si>
  <si>
    <t>OXYCONTIN</t>
  </si>
  <si>
    <t>68462039710</t>
  </si>
  <si>
    <t>OMEPRAZOLE DR 40 MG CAPSULE</t>
  </si>
  <si>
    <t>OMEPRAZOLE</t>
  </si>
  <si>
    <t>00169406012</t>
  </si>
  <si>
    <t>VICTOZA 2-PAK 18 MG/3 ML PEN</t>
  </si>
  <si>
    <t>27241013909</t>
  </si>
  <si>
    <t>OSELTAMIVIR 6 MG/ML SUSPENSION</t>
  </si>
  <si>
    <t>Ajanta</t>
  </si>
  <si>
    <t>OSELTAMIVIR</t>
  </si>
  <si>
    <t>47335032688</t>
  </si>
  <si>
    <t>NALTREXONE 50 MG TABLET</t>
  </si>
  <si>
    <t>NALTREXONE</t>
  </si>
  <si>
    <t>00480366720</t>
  </si>
  <si>
    <t>LIRAGLUTIDE 2-PAK 18 MG/3 ML</t>
  </si>
  <si>
    <t>54092019112</t>
  </si>
  <si>
    <t>PENTASA 500 MG CAPSULE</t>
  </si>
  <si>
    <t>PENTASA</t>
  </si>
  <si>
    <t>65162079108</t>
  </si>
  <si>
    <t>00591352530</t>
  </si>
  <si>
    <t>54092038501</t>
  </si>
  <si>
    <t>ADDERALL XR 15 MG CAPSULE</t>
  </si>
  <si>
    <t>59148001871</t>
  </si>
  <si>
    <t>63402020430</t>
  </si>
  <si>
    <t>APTIOM 400 MG TABLET</t>
  </si>
  <si>
    <t>00186077660</t>
  </si>
  <si>
    <t>BRILINTA 60 MG TABLET</t>
  </si>
  <si>
    <t>24979024806</t>
  </si>
  <si>
    <t>BUPROPION HCL XL 450 MG TABLET</t>
  </si>
  <si>
    <t>Upsher Smith</t>
  </si>
  <si>
    <t>BUPROPION HYDROCHLORIDE</t>
  </si>
  <si>
    <t>00131541072</t>
  </si>
  <si>
    <t>VIMPAT 10 MG/ML SOLUTION</t>
  </si>
  <si>
    <t>69616027430</t>
  </si>
  <si>
    <t>FYCOMPA 4 MG TABLET</t>
  </si>
  <si>
    <t>68546047956</t>
  </si>
  <si>
    <t>AUSTEDO XR 18 MG TABLET</t>
  </si>
  <si>
    <t>00469260290</t>
  </si>
  <si>
    <t>43068010602</t>
  </si>
  <si>
    <t>FANAPT 6 MG TABLET</t>
  </si>
  <si>
    <t>81520010030</t>
  </si>
  <si>
    <t>VOQUEZNA 10 MG TABLET</t>
  </si>
  <si>
    <t>00003376474</t>
  </si>
  <si>
    <t>ELIQUIS DVT-PE TREATMENT 30-DAY STARTER 5 MG PACK</t>
  </si>
  <si>
    <t>59148003513</t>
  </si>
  <si>
    <t>REXULTI 0.25 MG TABLET</t>
  </si>
  <si>
    <t>00003012560</t>
  </si>
  <si>
    <t>COBENFY 125 MG-30 MG CAPSULE</t>
  </si>
  <si>
    <t>69616027630</t>
  </si>
  <si>
    <t>FYCOMPA 6 MG TABLET</t>
  </si>
  <si>
    <t>00023320503</t>
  </si>
  <si>
    <t>LUMIGAN 0.01% EYE DROPS</t>
  </si>
  <si>
    <t>LUMIGAN</t>
  </si>
  <si>
    <t>51759020222</t>
  </si>
  <si>
    <t>AJOVY 225 MG/1.5 ML AUTOINJECTOR (3 PACK)</t>
  </si>
  <si>
    <t>66993008796</t>
  </si>
  <si>
    <t>FLUTICASONE-SALMETEROL 115-21</t>
  </si>
  <si>
    <t>FLUTICASONE PROPIONATE AND SALMETEROL HFA</t>
  </si>
  <si>
    <t>00904728080</t>
  </si>
  <si>
    <t>DOCUSATE SODIUM 100 MG SOFTGEL</t>
  </si>
  <si>
    <t>DOCUSATE</t>
  </si>
  <si>
    <t>31722072610</t>
  </si>
  <si>
    <t>MONTELUKAST SOD 10 MG TABLET</t>
  </si>
  <si>
    <t>MONTELUKAST</t>
  </si>
  <si>
    <t>54123098630</t>
  </si>
  <si>
    <t>ZUBSOLV 8.6-2.1 MG TABLET SL</t>
  </si>
  <si>
    <t>00480347868</t>
  </si>
  <si>
    <t>00143988775</t>
  </si>
  <si>
    <t>00002880359</t>
  </si>
  <si>
    <t>HUMULIN 70/30 KWIKPEN</t>
  </si>
  <si>
    <t>61958200202</t>
  </si>
  <si>
    <t>72511050101</t>
  </si>
  <si>
    <t>REPATHA 140 MG/ML SYRINGE</t>
  </si>
  <si>
    <t>00378827052</t>
  </si>
  <si>
    <t>ALBUTEROL SUL 2.5 MG/3 ML SOLN</t>
  </si>
  <si>
    <t>00054017713</t>
  </si>
  <si>
    <t>BUPRENORPHINE 8 MG TABLET SL</t>
  </si>
  <si>
    <t>BUPRENORPHINE</t>
  </si>
  <si>
    <t>61958120101</t>
  </si>
  <si>
    <t>STRIBILD TABLET</t>
  </si>
  <si>
    <t>STRIBILD</t>
  </si>
  <si>
    <t>66993013597</t>
  </si>
  <si>
    <t>FLUTICASONE-VILANTEROL 100-25</t>
  </si>
  <si>
    <t>FLUTICASONE FUROATE AND VILANTEROL</t>
  </si>
  <si>
    <t>00990795309</t>
  </si>
  <si>
    <t>Icu Medical</t>
  </si>
  <si>
    <t>50458056101</t>
  </si>
  <si>
    <t>INVEGA SUSTENNA 78 MG/0.5 ML</t>
  </si>
  <si>
    <t>61958110101</t>
  </si>
  <si>
    <t>COMPLERA TABLET</t>
  </si>
  <si>
    <t>COMPLERA</t>
  </si>
  <si>
    <t>00078091112</t>
  </si>
  <si>
    <t>00078065967</t>
  </si>
  <si>
    <t>00378750232</t>
  </si>
  <si>
    <t>BREYNA 80-4.5 MCG INHALER</t>
  </si>
  <si>
    <t>50474000148</t>
  </si>
  <si>
    <t>KEPPRA 100 MG/ML ORAL SOLN</t>
  </si>
  <si>
    <t>KEPPRA</t>
  </si>
  <si>
    <t>00006057561</t>
  </si>
  <si>
    <t>JANUMET 50-500 MG TABLET</t>
  </si>
  <si>
    <t>59651036105</t>
  </si>
  <si>
    <t>IBUPROFEN 600 MG TABLET</t>
  </si>
  <si>
    <t>24478010201</t>
  </si>
  <si>
    <t>DYANAVEL XR 2.5 MG/ML SUSP</t>
  </si>
  <si>
    <t>DYANAVEL XR</t>
  </si>
  <si>
    <t>69616027830</t>
  </si>
  <si>
    <t>FYCOMPA 8 MG TABLET</t>
  </si>
  <si>
    <t>66993013697</t>
  </si>
  <si>
    <t>FLUTICASONE-VILANTEROL 200-25</t>
  </si>
  <si>
    <t>59627022205</t>
  </si>
  <si>
    <t>AVONEX 30 MCG/0.5 ML SYRINGE KIT (4 PACK)</t>
  </si>
  <si>
    <t>00641037625</t>
  </si>
  <si>
    <t>DIPHENHYDRAMINE 50 MG/ML VIAL</t>
  </si>
  <si>
    <t>DIPHENHYDRAMINE</t>
  </si>
  <si>
    <t>61958250501</t>
  </si>
  <si>
    <t>BIKTARVY 30-120-15 MG TABLET</t>
  </si>
  <si>
    <t>66993060536</t>
  </si>
  <si>
    <t>ETONOGESTREL-EE VAGINAL RING</t>
  </si>
  <si>
    <t>ETONOGESTREL/ETHINYL ESTRADIOL</t>
  </si>
  <si>
    <t>64950032412</t>
  </si>
  <si>
    <t>CLEMASTINE 0.5 MG/5 ML SYRUP</t>
  </si>
  <si>
    <t>Lehigh Valley Technologies</t>
  </si>
  <si>
    <t>CLEMASTINE</t>
  </si>
  <si>
    <t>00093314705</t>
  </si>
  <si>
    <t>CEPHALEXIN 500 MG CAPSULE</t>
  </si>
  <si>
    <t>CEPHALEXIN</t>
  </si>
  <si>
    <t>00093681673</t>
  </si>
  <si>
    <t>BUDESONIDE 0.5 MG/2 ML SUSP</t>
  </si>
  <si>
    <t>BUDESONIDE</t>
  </si>
  <si>
    <t>00023921105</t>
  </si>
  <si>
    <t>COMBIGAN 0.2%-0.5% EYE DROPS</t>
  </si>
  <si>
    <t>COMBIGAN</t>
  </si>
  <si>
    <t>50474059766</t>
  </si>
  <si>
    <t>KEPPRA 1,000 MG TABLET</t>
  </si>
  <si>
    <t>13811070910</t>
  </si>
  <si>
    <t>METHYLPHENIDATE ER 54 MG TAB</t>
  </si>
  <si>
    <t>52536060011</t>
  </si>
  <si>
    <t>BACLOFEN 25 MG/5 ML SUSPENSION</t>
  </si>
  <si>
    <t>Wilshire</t>
  </si>
  <si>
    <t>BACLOFEN</t>
  </si>
  <si>
    <t>00597029588</t>
  </si>
  <si>
    <t>SYNJARDY XR 25-1,000 MG TABLET</t>
  </si>
  <si>
    <t>59417011601</t>
  </si>
  <si>
    <t>VYVANSE 20 MG CHEWABLE TABLET</t>
  </si>
  <si>
    <t>13811070710</t>
  </si>
  <si>
    <t>METHYLPHENIDATE ER 27 MG TAB</t>
  </si>
  <si>
    <t>46287004515</t>
  </si>
  <si>
    <t>TADLIQ 20 MG/5 ML SUSPENSION</t>
  </si>
  <si>
    <t>Cmp</t>
  </si>
  <si>
    <t>TADLIQ</t>
  </si>
  <si>
    <t>65862039010</t>
  </si>
  <si>
    <t>73473030275</t>
  </si>
  <si>
    <t>CLINDAMYCIN PHOSPHATE 1% GEL</t>
  </si>
  <si>
    <t>Solaris</t>
  </si>
  <si>
    <t>CLINDAMYCIN</t>
  </si>
  <si>
    <t>00642009330</t>
  </si>
  <si>
    <t>VITAFOL ULTRA SOFTGEL</t>
  </si>
  <si>
    <t>ALPHA.-TOCOPHEROL; ASCORBIC ACID; BETA CAROTENE; CHOLECALCIFEROL; CUPRIC OXIDE; CYANOCOBALAMIN; DL; DOCONEXENT; FOLIC ACID; IODIDE; IRON; LEVOMEFOLATE; NIACINAMIDE; OXIDE; PYRIDOXINE; RIBOFLAVIN; THIAMINE MONONITRATE; ZINC OXIDE</t>
  </si>
  <si>
    <t>13811070610</t>
  </si>
  <si>
    <t>METHYLPHENIDATE ER 18 MG TAB</t>
  </si>
  <si>
    <t>63090034030</t>
  </si>
  <si>
    <t>NUPLAZID 34 MG CAPSULE</t>
  </si>
  <si>
    <t>Acadia</t>
  </si>
  <si>
    <t>NUPLAZID</t>
  </si>
  <si>
    <t>50458009801</t>
  </si>
  <si>
    <t>ELMIRON 100 MG CAPSULE</t>
  </si>
  <si>
    <t>ELMIRON</t>
  </si>
  <si>
    <t>42806040021</t>
  </si>
  <si>
    <t>METHYLPREDNISOLONE 4 MG DOSEPK</t>
  </si>
  <si>
    <t>METHYLPREDNISOLONE</t>
  </si>
  <si>
    <t>00406802003</t>
  </si>
  <si>
    <t>Spec Gx</t>
  </si>
  <si>
    <t>00409488710</t>
  </si>
  <si>
    <t>WATER FOR INJECTION VIAL</t>
  </si>
  <si>
    <t>WATER</t>
  </si>
  <si>
    <t>17772010430</t>
  </si>
  <si>
    <t>TROKENDI XR 200 MG CAPSULE</t>
  </si>
  <si>
    <t>TROKENDI XR</t>
  </si>
  <si>
    <t>55724021111</t>
  </si>
  <si>
    <t>00310110530</t>
  </si>
  <si>
    <t>LOKELMA 5 GRAM POWDER PACKET</t>
  </si>
  <si>
    <t>27241009990</t>
  </si>
  <si>
    <t>DULOXETINE HCL DR 60 MG CAP</t>
  </si>
  <si>
    <t>DULOXETINE</t>
  </si>
  <si>
    <t>55111064410</t>
  </si>
  <si>
    <t>OMEPRAZOLE DR 20 MG CAPSULE</t>
  </si>
  <si>
    <t>00310628030</t>
  </si>
  <si>
    <t>XIGDUO XR 10 MG-1,000 MG TAB</t>
  </si>
  <si>
    <t>XIGDUO</t>
  </si>
  <si>
    <t>63323016501</t>
  </si>
  <si>
    <t>DEXAMETHASONE 4 MG/ML VIAL</t>
  </si>
  <si>
    <t>Fresenius Kabi</t>
  </si>
  <si>
    <t>DEXAMETHASONE</t>
  </si>
  <si>
    <t>64764017530</t>
  </si>
  <si>
    <t>DEXILANT DR 60 MG CAPSULE</t>
  </si>
  <si>
    <t>DEXILANT</t>
  </si>
  <si>
    <t>54092038901</t>
  </si>
  <si>
    <t>ADDERALL XR 25 MG CAPSULE</t>
  </si>
  <si>
    <t>00310626060</t>
  </si>
  <si>
    <t>XIGDUO XR 5 MG-1,000 MG TABLET</t>
  </si>
  <si>
    <t>00006011254</t>
  </si>
  <si>
    <t>51759041010</t>
  </si>
  <si>
    <t>UZEDY ER 75 MG/0.21 ML SYRINGE</t>
  </si>
  <si>
    <t>00093101042</t>
  </si>
  <si>
    <t>MUPIROCIN 2% OINTMENT</t>
  </si>
  <si>
    <t>MUPIROCIN</t>
  </si>
  <si>
    <t>00024414260</t>
  </si>
  <si>
    <t>MULTAQ 400 MG TABLET</t>
  </si>
  <si>
    <t>MULTAQ</t>
  </si>
  <si>
    <t>00173075700</t>
  </si>
  <si>
    <t>LAMICTAL XR 200 MG TABLET</t>
  </si>
  <si>
    <t>LAMICTAL</t>
  </si>
  <si>
    <t>53436008430</t>
  </si>
  <si>
    <t>VELTASSA 8.4 GM POWDER PACKET</t>
  </si>
  <si>
    <t>Vifor</t>
  </si>
  <si>
    <t>VELTASSA</t>
  </si>
  <si>
    <t>81968035101</t>
  </si>
  <si>
    <t>SUNOSI 150 MG TABLET</t>
  </si>
  <si>
    <t>SUNOSI</t>
  </si>
  <si>
    <t>00024592410</t>
  </si>
  <si>
    <t>ADMELOG 100 UNIT/ML VIAL</t>
  </si>
  <si>
    <t>60505413007</t>
  </si>
  <si>
    <t>OXCARBAZEPINE ER 600 MG TABLET</t>
  </si>
  <si>
    <t>OXCARBAZEPINE</t>
  </si>
  <si>
    <t>50419052435</t>
  </si>
  <si>
    <t>BETASERON 0.3 MG KIT</t>
  </si>
  <si>
    <t>BETASERON</t>
  </si>
  <si>
    <t>00169320111</t>
  </si>
  <si>
    <t>FIASP 100 UNIT/ML VIAL</t>
  </si>
  <si>
    <t>FIASP</t>
  </si>
  <si>
    <t>70710116003</t>
  </si>
  <si>
    <t>MIRABEGRON ER 50 MG TABLET</t>
  </si>
  <si>
    <t>MIRABEGRON</t>
  </si>
  <si>
    <t>58151024077</t>
  </si>
  <si>
    <t>LYRICA 150 MG CAPSULE</t>
  </si>
  <si>
    <t>LYRICA</t>
  </si>
  <si>
    <t>71770012030</t>
  </si>
  <si>
    <t>SIKLOS 1,000 MG TABLET</t>
  </si>
  <si>
    <t>Medunik</t>
  </si>
  <si>
    <t>SIKLOS</t>
  </si>
  <si>
    <t>59011043010</t>
  </si>
  <si>
    <t>OXYCONTIN ER 30 MG TABLET</t>
  </si>
  <si>
    <t>00121203630</t>
  </si>
  <si>
    <t>00169320415</t>
  </si>
  <si>
    <t>FIASP 100 UNIT/ML FLEXTOUCH</t>
  </si>
  <si>
    <t>00116200116</t>
  </si>
  <si>
    <t>CHLORHEXIDINE 0.12% RINSE</t>
  </si>
  <si>
    <t>Xttrium</t>
  </si>
  <si>
    <t>CHLORHEXIDINE GLUCONATE</t>
  </si>
  <si>
    <t>00078081881</t>
  </si>
  <si>
    <t>SANDOSTATIN LAR DEPOT 20 MG KT</t>
  </si>
  <si>
    <t>71143037501</t>
  </si>
  <si>
    <t>XHANCE 93 MCG EXHALATION DELIVERY NASAL SPRAY</t>
  </si>
  <si>
    <t>Optinose</t>
  </si>
  <si>
    <t>XHANCE</t>
  </si>
  <si>
    <t>52652500101</t>
  </si>
  <si>
    <t>KATERZIA 1 MG/ML SUSPENSION</t>
  </si>
  <si>
    <t>KATERZIA</t>
  </si>
  <si>
    <t>70710115903</t>
  </si>
  <si>
    <t>MIRABEGRON ER 25 MG TABLET</t>
  </si>
  <si>
    <t>00548585000</t>
  </si>
  <si>
    <t>GLUCAGON 1 MG EMERGENCY KIT</t>
  </si>
  <si>
    <t>GLUCAGON</t>
  </si>
  <si>
    <t>44087334401</t>
  </si>
  <si>
    <t>REBIF REBIDOSE 44 MCG/0.5 ML</t>
  </si>
  <si>
    <t>EMD Serono</t>
  </si>
  <si>
    <t>REBIF REBIDOSE</t>
  </si>
  <si>
    <t>51862025801</t>
  </si>
  <si>
    <t>NEXTSTELLIS 3-14.2 MG TABLET</t>
  </si>
  <si>
    <t>Mayne</t>
  </si>
  <si>
    <t>NEXTSTELLIS</t>
  </si>
  <si>
    <t>00121075908</t>
  </si>
  <si>
    <t>61269050906</t>
  </si>
  <si>
    <t>PULMICORT 90 MCG FLEXHALER</t>
  </si>
  <si>
    <t>H2</t>
  </si>
  <si>
    <t>PULMICORT</t>
  </si>
  <si>
    <t>70727052925</t>
  </si>
  <si>
    <t>ROCKLATAN 0.02%-0.005% EYE DRP</t>
  </si>
  <si>
    <t>Alcon</t>
  </si>
  <si>
    <t>ROCKLATAN</t>
  </si>
  <si>
    <t>43068010802</t>
  </si>
  <si>
    <t>FANAPT 8 MG TABLET</t>
  </si>
  <si>
    <t>65862001705</t>
  </si>
  <si>
    <t>AMOXICILLIN 500 MG CAPSULE</t>
  </si>
  <si>
    <t>59011075204</t>
  </si>
  <si>
    <t>BUTRANS 20 MCG/HR PATCH</t>
  </si>
  <si>
    <t>BUTRANS</t>
  </si>
  <si>
    <t>43598081115</t>
  </si>
  <si>
    <t>CETIRIZINE HCL 10 MG TABLET</t>
  </si>
  <si>
    <t>00186402001</t>
  </si>
  <si>
    <t>NEXIUM DR 20 MG PACKET</t>
  </si>
  <si>
    <t>NEXIUM</t>
  </si>
  <si>
    <t>00487970130</t>
  </si>
  <si>
    <t>Nephron</t>
  </si>
  <si>
    <t>83257001233</t>
  </si>
  <si>
    <t>SEMGLEE (YFGN) 100 UNIT/ML PEN</t>
  </si>
  <si>
    <t>SEMGLEE</t>
  </si>
  <si>
    <t>61269051812</t>
  </si>
  <si>
    <t>PULMICORT 180 MCG FLEXHALER</t>
  </si>
  <si>
    <t>59011041010</t>
  </si>
  <si>
    <t>OXYCONTIN ER 10 MG TABLET</t>
  </si>
  <si>
    <t>43598032675</t>
  </si>
  <si>
    <t>CIPROFLOXACIN; DEXAMETHASONE</t>
  </si>
  <si>
    <t>62175045832</t>
  </si>
  <si>
    <t>Lannett</t>
  </si>
  <si>
    <t>69238173306</t>
  </si>
  <si>
    <t>DOXEPIN 5% CREAM</t>
  </si>
  <si>
    <t>DOXEPIN</t>
  </si>
  <si>
    <t>00006033530</t>
  </si>
  <si>
    <t>BELSOMRA 20 MG TABLET</t>
  </si>
  <si>
    <t>BELSOMRA</t>
  </si>
  <si>
    <t>68462039610</t>
  </si>
  <si>
    <t>00074262584</t>
  </si>
  <si>
    <t>63459020130</t>
  </si>
  <si>
    <t>PROVIGIL 200 MG TABLET</t>
  </si>
  <si>
    <t>Cephalon</t>
  </si>
  <si>
    <t>PROVIGIL</t>
  </si>
  <si>
    <t>16571040250</t>
  </si>
  <si>
    <t>00093681773</t>
  </si>
  <si>
    <t>BUDESONIDE 1 MG/2 ML INH SUSP</t>
  </si>
  <si>
    <t>75854031530</t>
  </si>
  <si>
    <t>PRENATE MINI SOFTGEL</t>
  </si>
  <si>
    <t>Avion</t>
  </si>
  <si>
    <t>ALPHA.-TOCOPHEROL; ASCORBIC ACID; BIOTIN; CALCIUM CARBONATE; CHOLECALCIFEROL; CYANOCOBALAMIN; DL; DOCONEXENT; FERROUS ASPARTO GLYCINATE; FOLIC ACID; IODIDE; IRON; LEVOMEFOLATE; LOWBUSH BLUEBERRY; OXIDE; PYRIDOXINE</t>
  </si>
  <si>
    <t>00054032756</t>
  </si>
  <si>
    <t>FLUTICASONE-SALMETEROL 250-50</t>
  </si>
  <si>
    <t>FLUTICASONE; SALMETEROL XINAFOATE</t>
  </si>
  <si>
    <t>70700015010</t>
  </si>
  <si>
    <t>Xiromed</t>
  </si>
  <si>
    <t>66993013497</t>
  </si>
  <si>
    <t>UMECLIDINIUM-VILANTEROL ELLIPTA 62.5-25 MCG INH</t>
  </si>
  <si>
    <t>UMECLIDINIUM AND VILANTEROL ELLIPTA</t>
  </si>
  <si>
    <t>00023079815</t>
  </si>
  <si>
    <t>REFRESH TEARS 0.5% EYE DROP</t>
  </si>
  <si>
    <t>CARBOXYMETHYLCELLULOSE</t>
  </si>
  <si>
    <t>00555097302</t>
  </si>
  <si>
    <t>DEXTROAMP-AMPHETAMIN 20 MG TAB</t>
  </si>
  <si>
    <t>AMPHETAMINE; AMPHETAMINE ASPARTATE; DEXTROAMPHETAMINE; DEXTROAMPHETAMINE SACCHARATE</t>
  </si>
  <si>
    <t>54092054701</t>
  </si>
  <si>
    <t>MOTEGRITY 2 MG TABLET</t>
  </si>
  <si>
    <t>MOTEGRITY</t>
  </si>
  <si>
    <t>69097038702</t>
  </si>
  <si>
    <t>AMBRISENTAN 10 MG TABLET</t>
  </si>
  <si>
    <t>AMBRISENTAN</t>
  </si>
  <si>
    <t>64380080807</t>
  </si>
  <si>
    <t>65862007101</t>
  </si>
  <si>
    <t>50458030711</t>
  </si>
  <si>
    <t>RISPERDAL CONSTA 37.5 MG VIAL</t>
  </si>
  <si>
    <t>24208063110</t>
  </si>
  <si>
    <t>NEOMYCIN-POLYMYXIN-HC EAR SOLN</t>
  </si>
  <si>
    <t>HYDROCORTISONE; NEOMYCIN; POLYMYXIN B</t>
  </si>
  <si>
    <t>42385095330</t>
  </si>
  <si>
    <t>EMTRICITABINE-TENOFOVIR DISOPROXIL FUMARATE 200-300 MG TAB</t>
  </si>
  <si>
    <t>Laurus</t>
  </si>
  <si>
    <t>EMTRICITABINE; TENOFOVIR DISOPROXIL</t>
  </si>
  <si>
    <t>78206012501</t>
  </si>
  <si>
    <t>DULERA 50 MCG-5 MCG INHALER</t>
  </si>
  <si>
    <t>59651021430</t>
  </si>
  <si>
    <t>AZELASTINE 0.1% (137 MCG) SPRY</t>
  </si>
  <si>
    <t>AZELASTINE</t>
  </si>
  <si>
    <t>24208091055</t>
  </si>
  <si>
    <t>ERYTHROMYCIN 0.5% EYE OINTMENT</t>
  </si>
  <si>
    <t>ERYTHROMYCIN</t>
  </si>
  <si>
    <t>62484001505</t>
  </si>
  <si>
    <t>XROMI 100 MG/ML SOLUTION</t>
  </si>
  <si>
    <t>Nova</t>
  </si>
  <si>
    <t>XROMI</t>
  </si>
  <si>
    <t>00173087610</t>
  </si>
  <si>
    <t>ARNUITY ELLIPTA 200 MCG INH</t>
  </si>
  <si>
    <t>59385002760</t>
  </si>
  <si>
    <t>BELBUCA 900 MCG FILM</t>
  </si>
  <si>
    <t>Biodelivery Sciences International</t>
  </si>
  <si>
    <t>BELBUCA</t>
  </si>
  <si>
    <t>58406001004</t>
  </si>
  <si>
    <t>ENBREL 25 MG/0.5 ML SYRINGE</t>
  </si>
  <si>
    <t>64380080707</t>
  </si>
  <si>
    <t>00186401001</t>
  </si>
  <si>
    <t>NEXIUM DR 10 MG PACKET</t>
  </si>
  <si>
    <t>00597038577</t>
  </si>
  <si>
    <t>TRIJARDY XR 12.5-2.5-1,000 MG</t>
  </si>
  <si>
    <t>TRIJARDY XR</t>
  </si>
  <si>
    <t>70727049725</t>
  </si>
  <si>
    <t>RHOPRESSA 0.02% OPHTH SOLUTION</t>
  </si>
  <si>
    <t>RHOPRESSA</t>
  </si>
  <si>
    <t>71699002530</t>
  </si>
  <si>
    <t>XCOPRI 25 MG TABLET</t>
  </si>
  <si>
    <t>61755002002</t>
  </si>
  <si>
    <t>PRALUENT 75 MG/ML PEN</t>
  </si>
  <si>
    <t>Regeneron</t>
  </si>
  <si>
    <t>PRALUENT</t>
  </si>
  <si>
    <t>00641602725</t>
  </si>
  <si>
    <t>11534016503</t>
  </si>
  <si>
    <t>FOLIC ACID 1 MG TABLET</t>
  </si>
  <si>
    <t>Sunrise</t>
  </si>
  <si>
    <t>FOLIC ACID</t>
  </si>
  <si>
    <t>00536120207</t>
  </si>
  <si>
    <t>LIDOCAINE PAIN RELIEF 4% PATCH</t>
  </si>
  <si>
    <t>Rugby</t>
  </si>
  <si>
    <t>59651003247</t>
  </si>
  <si>
    <t>IBUPROFEN 100 MG/5 ML SUSP</t>
  </si>
  <si>
    <t>00032004670</t>
  </si>
  <si>
    <t>CREON DR 6,000 UNIT CAPSULE</t>
  </si>
  <si>
    <t>55513053010</t>
  </si>
  <si>
    <t>NEUPOGEN 300 MCG/ML VIAL</t>
  </si>
  <si>
    <t>NEUPOGEN</t>
  </si>
  <si>
    <t>00006008061</t>
  </si>
  <si>
    <t>JANUMET XR 50-1,000 MG TABLET</t>
  </si>
  <si>
    <t>59922063101</t>
  </si>
  <si>
    <t>AURYXIA 210 MG TABLET</t>
  </si>
  <si>
    <t>Akebia</t>
  </si>
  <si>
    <t>AURYXIA</t>
  </si>
  <si>
    <t>43068011002</t>
  </si>
  <si>
    <t>FANAPT 10 MG TABLET</t>
  </si>
  <si>
    <t>50242004164</t>
  </si>
  <si>
    <t>CATHFLO ACTIVASE 2 MG VIAL</t>
  </si>
  <si>
    <t>CATHFLO ACTIVASE</t>
  </si>
  <si>
    <t>59651003212</t>
  </si>
  <si>
    <t>59417011501</t>
  </si>
  <si>
    <t>VYVANSE 10 MG CHEWABLE TABLET</t>
  </si>
  <si>
    <t>72426081803</t>
  </si>
  <si>
    <t>NEXLIZET 180-10 MG TABLET</t>
  </si>
  <si>
    <t>Esperion</t>
  </si>
  <si>
    <t>NEXLIZET</t>
  </si>
  <si>
    <t>61874010060</t>
  </si>
  <si>
    <t>VIBERZI 100 MG TABLET</t>
  </si>
  <si>
    <t>VIBERZI</t>
  </si>
  <si>
    <t>59011044010</t>
  </si>
  <si>
    <t>OXYCONTIN ER 40 MG TABLET</t>
  </si>
  <si>
    <t>17270074000</t>
  </si>
  <si>
    <t>Armstrong</t>
  </si>
  <si>
    <t>68180015206</t>
  </si>
  <si>
    <t>68180098003</t>
  </si>
  <si>
    <t>LISINOPRIL 10 MG TABLET</t>
  </si>
  <si>
    <t>LISINOPRIL</t>
  </si>
  <si>
    <t>60842002302</t>
  </si>
  <si>
    <t>AUVI-Q 0.3 MG AUTO-INJECTOR</t>
  </si>
  <si>
    <t>Kaleo</t>
  </si>
  <si>
    <t>AUVI-Q</t>
  </si>
  <si>
    <t>00069350002</t>
  </si>
  <si>
    <t>ZAVZPRET 10 MG NASAL SPRAY</t>
  </si>
  <si>
    <t>ZAVZPRET</t>
  </si>
  <si>
    <t>66993037179</t>
  </si>
  <si>
    <t>MEDROXYPROGESTERONE 150 MG/ML</t>
  </si>
  <si>
    <t>MEDROXYPROGESTERONE ACETATE</t>
  </si>
  <si>
    <t>00597017560</t>
  </si>
  <si>
    <t>SYNJARDY 5-1,000 MG TABLET</t>
  </si>
  <si>
    <t>00002311509</t>
  </si>
  <si>
    <t>EMGALITY 300 MG DOSE (100 MG/ML X 3 SYRINGES)</t>
  </si>
  <si>
    <t>00409475503</t>
  </si>
  <si>
    <t>50228018010</t>
  </si>
  <si>
    <t>GABAPENTIN 300 MG CAPSULE</t>
  </si>
  <si>
    <t>Sciegen</t>
  </si>
  <si>
    <t>GABAPENTIN</t>
  </si>
  <si>
    <t>50474059540</t>
  </si>
  <si>
    <t>KEPPRA 500 MG TABLET</t>
  </si>
  <si>
    <t>55494010010</t>
  </si>
  <si>
    <t>DICLEGIS DR 10-10 MG TABLET</t>
  </si>
  <si>
    <t>Duchesnay</t>
  </si>
  <si>
    <t>DICLEGIS</t>
  </si>
  <si>
    <t>65862001305</t>
  </si>
  <si>
    <t>SERTRALINE HCL 100 MG TABLET</t>
  </si>
  <si>
    <t>SERTRALINE</t>
  </si>
  <si>
    <t>68180098103</t>
  </si>
  <si>
    <t>LISINOPRIL 20 MG TABLET</t>
  </si>
  <si>
    <t>00002771459</t>
  </si>
  <si>
    <t>HUMALOG JR 100 UNIT/ML KWIKPEN</t>
  </si>
  <si>
    <t>00173064460</t>
  </si>
  <si>
    <t>LAMICTAL 200 MG TABLET</t>
  </si>
  <si>
    <t>59417011701</t>
  </si>
  <si>
    <t>VYVANSE 30 MG CHEWABLE TABLET</t>
  </si>
  <si>
    <t>69616028230</t>
  </si>
  <si>
    <t>FYCOMPA 12 MG TABLET</t>
  </si>
  <si>
    <t>54838050280</t>
  </si>
  <si>
    <t>HYDROXYZINE 10 MG/5 ML SYRUP</t>
  </si>
  <si>
    <t>HYDROXYZINE</t>
  </si>
  <si>
    <t>00536132710</t>
  </si>
  <si>
    <t>ACETAMINOPHEN 325 MG TABLET</t>
  </si>
  <si>
    <t>ACETAMINOPHEN</t>
  </si>
  <si>
    <t>65862059805</t>
  </si>
  <si>
    <t>TAMSULOSIN HCL 0.4 MG CAPSULE</t>
  </si>
  <si>
    <t>TAMSULOSIN</t>
  </si>
  <si>
    <t>00074364203</t>
  </si>
  <si>
    <t>LUPRON DEPOT 7.5 MG 1 MONTH KT</t>
  </si>
  <si>
    <t>49483048110</t>
  </si>
  <si>
    <t>Time Cap</t>
  </si>
  <si>
    <t>42192060716</t>
  </si>
  <si>
    <t>BROMPHEN-PSE-DM 2-30-10 MG/5 ML</t>
  </si>
  <si>
    <t>Acella</t>
  </si>
  <si>
    <t>BROMPHENIRAMINE; DEXTROMETHORPHAN; PSEUDOEPHEDRINE</t>
  </si>
  <si>
    <t>66993008896</t>
  </si>
  <si>
    <t>FLUTICASONE-SALMETEROL 230-21</t>
  </si>
  <si>
    <t>69315012710</t>
  </si>
  <si>
    <t>Leading</t>
  </si>
  <si>
    <t>00131247835</t>
  </si>
  <si>
    <t>VIMPAT 100 MG TABLET</t>
  </si>
  <si>
    <t>00023608210</t>
  </si>
  <si>
    <t>INFED 100 MG/2 ML VIAL</t>
  </si>
  <si>
    <t>INFED</t>
  </si>
  <si>
    <t>57844012001</t>
  </si>
  <si>
    <t>ADDERALL 20 MG TABLET</t>
  </si>
  <si>
    <t>76204020025</t>
  </si>
  <si>
    <t>Ritedose</t>
  </si>
  <si>
    <t>72205006078</t>
  </si>
  <si>
    <t>Novadoz</t>
  </si>
  <si>
    <t>59385002460</t>
  </si>
  <si>
    <t>BELBUCA 450 MCG FILM</t>
  </si>
  <si>
    <t>42858060203</t>
  </si>
  <si>
    <t>Rhodes</t>
  </si>
  <si>
    <t>70010049105</t>
  </si>
  <si>
    <t>METFORMIN HCL ER 500 MG TABLET</t>
  </si>
  <si>
    <t>Granules</t>
  </si>
  <si>
    <t>65162041503</t>
  </si>
  <si>
    <t>70710174503</t>
  </si>
  <si>
    <t>00143914402</t>
  </si>
  <si>
    <t>59011075804</t>
  </si>
  <si>
    <t>BUTRANS 15 MCG/HR PATCH</t>
  </si>
  <si>
    <t>00006008131</t>
  </si>
  <si>
    <t>JANUMET XR 100-1,000 MG TABLET</t>
  </si>
  <si>
    <t>00406012301</t>
  </si>
  <si>
    <t>HYDROCODONE-ACETAMINOPHEN 5-325 MG TABLET</t>
  </si>
  <si>
    <t>ACETAMINOPHEN; HYDROCODONE</t>
  </si>
  <si>
    <t>67877019910</t>
  </si>
  <si>
    <t>AMLODIPINE BESYLATE 10 MG TAB</t>
  </si>
  <si>
    <t>Ascend L L C</t>
  </si>
  <si>
    <t>AMLODIPINE</t>
  </si>
  <si>
    <t>29300039810</t>
  </si>
  <si>
    <t>Unichem</t>
  </si>
  <si>
    <t>82667090002</t>
  </si>
  <si>
    <t>VEVYE 0.1% EYE DROP</t>
  </si>
  <si>
    <t>Harrow Eye</t>
  </si>
  <si>
    <t>VEVYE</t>
  </si>
  <si>
    <t>68462018022</t>
  </si>
  <si>
    <t>80491785003</t>
  </si>
  <si>
    <t>QUVIVIQ 50 MG TABLET</t>
  </si>
  <si>
    <t>Idorsia</t>
  </si>
  <si>
    <t>QUVIVIQ</t>
  </si>
  <si>
    <t>51672407008</t>
  </si>
  <si>
    <t>59385002560</t>
  </si>
  <si>
    <t>BELBUCA 600 MCG FILM</t>
  </si>
  <si>
    <t>00002880559</t>
  </si>
  <si>
    <t>HUMULIN N 100 UNIT/ML KWIKPEN</t>
  </si>
  <si>
    <t>59011048010</t>
  </si>
  <si>
    <t>OXYCONTIN ER 80 MG TABLET</t>
  </si>
  <si>
    <t>50458060601</t>
  </si>
  <si>
    <t>INVEGA TRINZA 273 MG/0.88 ML</t>
  </si>
  <si>
    <t>00480145308</t>
  </si>
  <si>
    <t>RISPERIDONE ER 50 MG VIAL</t>
  </si>
  <si>
    <t>RISPERIDONE</t>
  </si>
  <si>
    <t>00574110416</t>
  </si>
  <si>
    <t>Padagis</t>
  </si>
  <si>
    <t>73336007590</t>
  </si>
  <si>
    <t>45802065087</t>
  </si>
  <si>
    <t>LORATADINE 10 MG TABLET</t>
  </si>
  <si>
    <t>LORATADINE</t>
  </si>
  <si>
    <t>68180053701</t>
  </si>
  <si>
    <t>DICLOFENAC 2% SOLUTION PUMP</t>
  </si>
  <si>
    <t>65162046935</t>
  </si>
  <si>
    <t>ELURYNG VAGINAL RING</t>
  </si>
  <si>
    <t>ETHINYL ESTRADIOL; ETONOGESTREL</t>
  </si>
  <si>
    <t>65862042005</t>
  </si>
  <si>
    <t>SULFAMETHOXAZOLE-TMP DS TABLET</t>
  </si>
  <si>
    <t>SULFAMETHOXAZOLE; TRIMETHOPRIM</t>
  </si>
  <si>
    <t>70954006020</t>
  </si>
  <si>
    <t>PREDNISONE 20 MG TABLET</t>
  </si>
  <si>
    <t>ANI</t>
  </si>
  <si>
    <t>PREDNISONE</t>
  </si>
  <si>
    <t>50458058090</t>
  </si>
  <si>
    <t>73562011001</t>
  </si>
  <si>
    <t>ZENPEP DR 10,000 UNIT CAPSULE</t>
  </si>
  <si>
    <t>50111056003</t>
  </si>
  <si>
    <t>TRAZODONE 50 MG TABLET</t>
  </si>
  <si>
    <t>TRAZODONE</t>
  </si>
  <si>
    <t>00121088516</t>
  </si>
  <si>
    <t>00078045705</t>
  </si>
  <si>
    <t>TRILEPTAL 600 MG TABLET</t>
  </si>
  <si>
    <t>70010006310</t>
  </si>
  <si>
    <t>METFORMIN HCL 500 MG TABLET</t>
  </si>
  <si>
    <t>65628027210</t>
  </si>
  <si>
    <t>KONVOMEP 2-84 MG/ML ORAL SUSP</t>
  </si>
  <si>
    <t>KONVOMEP</t>
  </si>
  <si>
    <t>17772010330</t>
  </si>
  <si>
    <t>TROKENDI XR 100 MG CAPSULE</t>
  </si>
  <si>
    <t>00406055201</t>
  </si>
  <si>
    <t>OXYCODONE HCL (IR) 5 MG TABLET</t>
  </si>
  <si>
    <t>OXYCODONE</t>
  </si>
  <si>
    <t>27241010806</t>
  </si>
  <si>
    <t>CLONIDINE HCL ER 0.1 MG TABLET</t>
  </si>
  <si>
    <t>CLONIDINE</t>
  </si>
  <si>
    <t>62756097083</t>
  </si>
  <si>
    <t>43598044874</t>
  </si>
  <si>
    <t>NICOTINE 21 MG/24HR PATCH</t>
  </si>
  <si>
    <t>NICOTINE</t>
  </si>
  <si>
    <t>00006003330</t>
  </si>
  <si>
    <t>BELSOMRA 10 MG TABLET</t>
  </si>
  <si>
    <t>00006308001</t>
  </si>
  <si>
    <t>ISENTRESS HD 600 MG TABLET</t>
  </si>
  <si>
    <t>68180035302</t>
  </si>
  <si>
    <t>00378668910</t>
  </si>
  <si>
    <t>00006057762</t>
  </si>
  <si>
    <t>55111014512</t>
  </si>
  <si>
    <t>FLUCONAZOLE 150 MG TABLET</t>
  </si>
  <si>
    <t>FLUCONAZOLE</t>
  </si>
  <si>
    <t>16571086350</t>
  </si>
  <si>
    <t>BUPROPION HCL XL 300 MG TABLET</t>
  </si>
  <si>
    <t>BUPROPION</t>
  </si>
  <si>
    <t>50458057989</t>
  </si>
  <si>
    <t>59011041510</t>
  </si>
  <si>
    <t>OXYCONTIN ER 15 MG TABLET</t>
  </si>
  <si>
    <t>00121087316</t>
  </si>
  <si>
    <t>LACTULOSE 10 GM/15 ML SOLUTION</t>
  </si>
  <si>
    <t>LACTULOSE</t>
  </si>
  <si>
    <t>31722071310</t>
  </si>
  <si>
    <t>67877019810</t>
  </si>
  <si>
    <t>AMLODIPINE BESYLATE 5 MG TAB</t>
  </si>
  <si>
    <t>70954066210</t>
  </si>
  <si>
    <t>59767002401</t>
  </si>
  <si>
    <t>PERTZYE DR 24,000 UNIT CAPSULE</t>
  </si>
  <si>
    <t>Digestive Care</t>
  </si>
  <si>
    <t>PERTZYE</t>
  </si>
  <si>
    <t>00173064255</t>
  </si>
  <si>
    <t>LAMICTAL 100 MG TABLET</t>
  </si>
  <si>
    <t>43547028211</t>
  </si>
  <si>
    <t>ESCITALOPRAM 20 MG TABLET</t>
  </si>
  <si>
    <t>Solco</t>
  </si>
  <si>
    <t>ESCITALOPRAM</t>
  </si>
  <si>
    <t>68180032002</t>
  </si>
  <si>
    <t>68180098430</t>
  </si>
  <si>
    <t>00093681573</t>
  </si>
  <si>
    <t>BUDESONIDE 0.25 MG/2 ML SUSP</t>
  </si>
  <si>
    <t>61874011520</t>
  </si>
  <si>
    <t>00536105227</t>
  </si>
  <si>
    <t>00093416173</t>
  </si>
  <si>
    <t>67877021905</t>
  </si>
  <si>
    <t>21922004340</t>
  </si>
  <si>
    <t>TRETINOIN GEL MICRO 0.08% PUMP</t>
  </si>
  <si>
    <t>Encube Ethicals</t>
  </si>
  <si>
    <t>TRETINOIN</t>
  </si>
  <si>
    <t>62559020412</t>
  </si>
  <si>
    <t>69616027230</t>
  </si>
  <si>
    <t>FYCOMPA 2 MG TABLET</t>
  </si>
  <si>
    <t>43598058130</t>
  </si>
  <si>
    <t>BUPRENORPHINE-NALOXONE 12-3 MG SL FILM</t>
  </si>
  <si>
    <t>00406052301</t>
  </si>
  <si>
    <t>OXYCODONE-ACETAMINOPHEN 10-325 MG TAB</t>
  </si>
  <si>
    <t>ACETAMINOPHEN; OXYCODONE</t>
  </si>
  <si>
    <t>68180035202</t>
  </si>
  <si>
    <t>SERTRALINE HCL 50 MG TABLET</t>
  </si>
  <si>
    <t>43598044774</t>
  </si>
  <si>
    <t>NICOTINE 14 MG/24HR PATCH</t>
  </si>
  <si>
    <t>43547028111</t>
  </si>
  <si>
    <t>ESCITALOPRAM 10 MG TABLET</t>
  </si>
  <si>
    <t>00480449056</t>
  </si>
  <si>
    <t>TASIMELTEON 20 MG CAPSULE</t>
  </si>
  <si>
    <t>TASIMELTEON</t>
  </si>
  <si>
    <t>59676056630</t>
  </si>
  <si>
    <t>PREZISTA 800 MG TABLET</t>
  </si>
  <si>
    <t>PREZISTA</t>
  </si>
  <si>
    <t>00487960130</t>
  </si>
  <si>
    <t>72485062513</t>
  </si>
  <si>
    <t>Armas</t>
  </si>
  <si>
    <t>00002871501</t>
  </si>
  <si>
    <t>HUMULIN 70-30 VIAL</t>
  </si>
  <si>
    <t>51167054830</t>
  </si>
  <si>
    <t>JOURNAVX 50 MG TABLET</t>
  </si>
  <si>
    <t>Vertex</t>
  </si>
  <si>
    <t>JOURNAVX</t>
  </si>
  <si>
    <t>00002772801</t>
  </si>
  <si>
    <t>LYUMJEV 100 UNIT/ML VIAL</t>
  </si>
  <si>
    <t>LYUMJEV</t>
  </si>
  <si>
    <t>83257002541</t>
  </si>
  <si>
    <t>YESINTEK 90 MG/ML SYRINGE</t>
  </si>
  <si>
    <t>YESINTEK</t>
  </si>
  <si>
    <t>69616028030</t>
  </si>
  <si>
    <t>FYCOMPA 10 MG TABLET</t>
  </si>
  <si>
    <t>50458030611</t>
  </si>
  <si>
    <t>RISPERDAL CONSTA 25 MG VIAL</t>
  </si>
  <si>
    <t>00173076100</t>
  </si>
  <si>
    <t>LAMICTAL XR 300 MG TABLET</t>
  </si>
  <si>
    <t>73352008660</t>
  </si>
  <si>
    <t>Trifluent</t>
  </si>
  <si>
    <t>00173052100</t>
  </si>
  <si>
    <t>SEREVENT DISKUS 50 MCG</t>
  </si>
  <si>
    <t>SEREVENT</t>
  </si>
  <si>
    <t>69238207707</t>
  </si>
  <si>
    <t>PROPRANOLOL 10 MG TABLET</t>
  </si>
  <si>
    <t>PROPRANOLOL</t>
  </si>
  <si>
    <t>59385002360</t>
  </si>
  <si>
    <t>BELBUCA 300 MCG FILM</t>
  </si>
  <si>
    <t>42806055212</t>
  </si>
  <si>
    <t>OMEGA-3 ETHYL ESTERS 1 GM CAP</t>
  </si>
  <si>
    <t>OMEGA-3-ACID ETHYL ESTERS</t>
  </si>
  <si>
    <t>51759030510</t>
  </si>
  <si>
    <t>UZEDY ER 50 MG/0.14 ML SYRINGE</t>
  </si>
  <si>
    <t>63402020230</t>
  </si>
  <si>
    <t>APTIOM 200 MG TABLET</t>
  </si>
  <si>
    <t>57237000511</t>
  </si>
  <si>
    <t>27241009903</t>
  </si>
  <si>
    <t>00006022154</t>
  </si>
  <si>
    <t>00406117003</t>
  </si>
  <si>
    <t>69097083512</t>
  </si>
  <si>
    <t>69751010012</t>
  </si>
  <si>
    <t>PHEXXI 1.8-1-0.4% VAGINAL GEL</t>
  </si>
  <si>
    <t>Evofem</t>
  </si>
  <si>
    <t>PHEXXI</t>
  </si>
  <si>
    <t>47781056401</t>
  </si>
  <si>
    <t>LISDEXAMFETAMINE 30 MG CAPSULE</t>
  </si>
  <si>
    <t>LISDEXAMFETAMINE DIMESYLATE</t>
  </si>
  <si>
    <t>50111056001</t>
  </si>
  <si>
    <t>59011046010</t>
  </si>
  <si>
    <t>OXYCONTIN ER 60 MG TABLET</t>
  </si>
  <si>
    <t>69097031987</t>
  </si>
  <si>
    <t>00456155060</t>
  </si>
  <si>
    <t>SAVELLA 50 MG TABLET</t>
  </si>
  <si>
    <t>SAVELLA</t>
  </si>
  <si>
    <t>00054018813</t>
  </si>
  <si>
    <t>BUPRENORPHINE-NALOXONE 2-0.5 MG SL TABLET</t>
  </si>
  <si>
    <t>00597016818</t>
  </si>
  <si>
    <t>27241009810</t>
  </si>
  <si>
    <t>DULOXETINE HCL DR 30 MG CAP</t>
  </si>
  <si>
    <t>50474059866</t>
  </si>
  <si>
    <t>KEPPRA XR 500 MG TABLET</t>
  </si>
  <si>
    <t>00536589688</t>
  </si>
  <si>
    <t>64764010560</t>
  </si>
  <si>
    <t>EOHILIA 2 MG/10 ML PACKET</t>
  </si>
  <si>
    <t>EOHILIA</t>
  </si>
  <si>
    <t>29300039710</t>
  </si>
  <si>
    <t>60505622904</t>
  </si>
  <si>
    <t>DAPTOMYCIN 500 MG VIAL</t>
  </si>
  <si>
    <t>DAPTOMYCIN</t>
  </si>
  <si>
    <t>00406012305</t>
  </si>
  <si>
    <t>72065012012</t>
  </si>
  <si>
    <t>GVOKE HYPOPEN 2PK 0.5 MG/0.1 ML</t>
  </si>
  <si>
    <t>64850050501</t>
  </si>
  <si>
    <t>Elite</t>
  </si>
  <si>
    <t>60505257908</t>
  </si>
  <si>
    <t>ATORVASTATIN 20 MG TABLET</t>
  </si>
  <si>
    <t>ATORVASTATIN PROPYLENE GLYCOL SOLVATE</t>
  </si>
  <si>
    <t>00406012505</t>
  </si>
  <si>
    <t>HYDROCODONE-ACETAMINOPHEN 10-325 MG TABLET</t>
  </si>
  <si>
    <t>69238254803</t>
  </si>
  <si>
    <t>59676027801</t>
  </si>
  <si>
    <t>EDURANT 25 MG TABLET</t>
  </si>
  <si>
    <t>EDURANT</t>
  </si>
  <si>
    <t>67877015905</t>
  </si>
  <si>
    <t>70700015691</t>
  </si>
  <si>
    <t>ENILLORING VAGINAL RING</t>
  </si>
  <si>
    <t>73070020315</t>
  </si>
  <si>
    <t>INSULIN ASPART PROTAMINE-INSULIN ASPART MIX 70-30 FLEXPEN</t>
  </si>
  <si>
    <t>INSULIN ASPART PROTAMINE AND INSULIN ASPART</t>
  </si>
  <si>
    <t>60505258008</t>
  </si>
  <si>
    <t>ATORVASTATIN 40 MG TABLET</t>
  </si>
  <si>
    <t>31722071730</t>
  </si>
  <si>
    <t>ATOMOXETINE HCL 40 MG CAPSULE</t>
  </si>
  <si>
    <t>ATOMOXETINE</t>
  </si>
  <si>
    <t>68308075201</t>
  </si>
  <si>
    <t>ANNOVERA VAGINAL RING</t>
  </si>
  <si>
    <t>ANNOVERA</t>
  </si>
  <si>
    <t>00904679480</t>
  </si>
  <si>
    <t>ASPIRIN 81 MG CHEWABLE TABLET</t>
  </si>
  <si>
    <t>43068010402</t>
  </si>
  <si>
    <t>FANAPT 4 MG TABLET</t>
  </si>
  <si>
    <t>45802095301</t>
  </si>
  <si>
    <t>69097032187</t>
  </si>
  <si>
    <t>31722057447</t>
  </si>
  <si>
    <t>LEVETIRACETAM 100 MG/ML SOLN</t>
  </si>
  <si>
    <t>LEVETIRACETAM</t>
  </si>
  <si>
    <t>60505403301</t>
  </si>
  <si>
    <t>ICOSAPENT ETHYL 1 GRAM CAPSULE</t>
  </si>
  <si>
    <t>ICOSAPENT ETHYL</t>
  </si>
  <si>
    <t>00228315303</t>
  </si>
  <si>
    <t>00781261305</t>
  </si>
  <si>
    <t>00004026129</t>
  </si>
  <si>
    <t>CELLCEPT 200 MG/ML ORAL SUSP</t>
  </si>
  <si>
    <t>CELLCEPT</t>
  </si>
  <si>
    <t>54092047612</t>
  </si>
  <si>
    <t>LIALDA DR 1.2 GM TABLET</t>
  </si>
  <si>
    <t>LIALDA</t>
  </si>
  <si>
    <t>50474059640</t>
  </si>
  <si>
    <t>KEPPRA 750 MG TABLET</t>
  </si>
  <si>
    <t>17772012201</t>
  </si>
  <si>
    <t>OXTELLAR XR 300 MG TABLET</t>
  </si>
  <si>
    <t>52427066430</t>
  </si>
  <si>
    <t>SERTRALINE 150 MG CAPSULE</t>
  </si>
  <si>
    <t>Almatica</t>
  </si>
  <si>
    <t>SERTRALINE HCL</t>
  </si>
  <si>
    <t>00641605725</t>
  </si>
  <si>
    <t>MIDAZOLAM HCL 2 MG/2 ML VIAL</t>
  </si>
  <si>
    <t>MIDAZOLAM</t>
  </si>
  <si>
    <t>00078077767</t>
  </si>
  <si>
    <t>00002831501</t>
  </si>
  <si>
    <t>HUMULIN N 100 UNIT/ML VIAL</t>
  </si>
  <si>
    <t>66993058597</t>
  </si>
  <si>
    <t>FLUTICASONE PROPIONATE AND SALMETEROL</t>
  </si>
  <si>
    <t>43386028001</t>
  </si>
  <si>
    <t>DIAZEPAM 10 MG RECTAL GEL (2PK)</t>
  </si>
  <si>
    <t>DIAZEPAM</t>
  </si>
  <si>
    <t>45963055650</t>
  </si>
  <si>
    <t>65757050003</t>
  </si>
  <si>
    <t>ARISTADA INITIO ER 675 MG/2.4</t>
  </si>
  <si>
    <t>ARISTADA INITIO</t>
  </si>
  <si>
    <t>68462019005</t>
  </si>
  <si>
    <t>NAPROXEN 500 MG TABLET</t>
  </si>
  <si>
    <t>NAPROXEN</t>
  </si>
  <si>
    <t>68180097903</t>
  </si>
  <si>
    <t>LISINOPRIL 40 MG TABLET</t>
  </si>
  <si>
    <t>68546047056</t>
  </si>
  <si>
    <t>AUSTEDO XR 6 MG TABLET</t>
  </si>
  <si>
    <t>27808023302</t>
  </si>
  <si>
    <t>DOXYCYCLINE HYCLATE 100 MG CAP</t>
  </si>
  <si>
    <t>Cranbury</t>
  </si>
  <si>
    <t>DOXYCYCLINE</t>
  </si>
  <si>
    <t>31722070530</t>
  </si>
  <si>
    <t>VALACYCLOVIR HCL 1 GRAM TABLET</t>
  </si>
  <si>
    <t>VALACYCLOVIR</t>
  </si>
  <si>
    <t>66689030516</t>
  </si>
  <si>
    <t>SUCRALFATE 1 GM/10 ML SUSP</t>
  </si>
  <si>
    <t>Vistapharm</t>
  </si>
  <si>
    <t>SUCRALFATE</t>
  </si>
  <si>
    <t>00131247935</t>
  </si>
  <si>
    <t>VIMPAT 150 MG TABLET</t>
  </si>
  <si>
    <t>72426011803</t>
  </si>
  <si>
    <t>NEXLETOL 180 MG TABLET</t>
  </si>
  <si>
    <t>NEXLETOL</t>
  </si>
  <si>
    <t>65862020399</t>
  </si>
  <si>
    <t>LOSARTAN POTASSIUM 100 MG TAB</t>
  </si>
  <si>
    <t>LOSARTAN</t>
  </si>
  <si>
    <t>00310460012</t>
  </si>
  <si>
    <t>BEVESPI AEROSPHERE INHALER</t>
  </si>
  <si>
    <t>BEVESPI AEROSPHERE</t>
  </si>
  <si>
    <t>59011075104</t>
  </si>
  <si>
    <t>BUTRANS 10 MCG/HR PATCH</t>
  </si>
  <si>
    <t>00781210301</t>
  </si>
  <si>
    <t>TACROLIMUS 1 MG CAPSULE (IMMEDIATE RELEASE)</t>
  </si>
  <si>
    <t>TACROLIMUS</t>
  </si>
  <si>
    <t>47781056501</t>
  </si>
  <si>
    <t>LISDEXAMFETAMINE 40 MG CAPSULE</t>
  </si>
  <si>
    <t>43068010202</t>
  </si>
  <si>
    <t>FANAPT 2 MG TABLET</t>
  </si>
  <si>
    <t>66993023730</t>
  </si>
  <si>
    <t>71839010701</t>
  </si>
  <si>
    <t>Be</t>
  </si>
  <si>
    <t>52652300101</t>
  </si>
  <si>
    <t>QBRELIS 1 MG/ML SOLUTION</t>
  </si>
  <si>
    <t>QBRELIS</t>
  </si>
  <si>
    <t>73070050315</t>
  </si>
  <si>
    <t>INSULIN DEGLUDEC FLEXTOUCH 200 UNIT/ML PEN</t>
  </si>
  <si>
    <t>INSULIN DEGLUDEC</t>
  </si>
  <si>
    <t>61755002102</t>
  </si>
  <si>
    <t>PRALUENT 150 MG/ML PEN</t>
  </si>
  <si>
    <t>68382080610</t>
  </si>
  <si>
    <t>TRAZODONE 100 MG TABLET</t>
  </si>
  <si>
    <t>66758008770</t>
  </si>
  <si>
    <t>CIPRO HC OTIC SUSPENSION</t>
  </si>
  <si>
    <t>CIPRO</t>
  </si>
  <si>
    <t>00093372755</t>
  </si>
  <si>
    <t>DICLOFENAC EPOLAMINE 1.3% PTCH</t>
  </si>
  <si>
    <t>DICLOFENAC EPOLAMINE</t>
  </si>
  <si>
    <t>00264775007</t>
  </si>
  <si>
    <t>00002967801</t>
  </si>
  <si>
    <t>65862084605</t>
  </si>
  <si>
    <t>CLOZAPINE 100 MG TABLET</t>
  </si>
  <si>
    <t>CLOZAPINE</t>
  </si>
  <si>
    <t>43386009019</t>
  </si>
  <si>
    <t>GAVILYTE-G SOLUTION</t>
  </si>
  <si>
    <t>POLYETHYLENE GLYCOL 3350; POTASSIUM CHLORIDE; SODIUM BICARBONATE; SODIUM CHLORIDE; SODIUM SULFATE ANHYDROUS</t>
  </si>
  <si>
    <t>63323066401</t>
  </si>
  <si>
    <t>69547062702</t>
  </si>
  <si>
    <t>NARCAN 4 MG NASAL SPRAY</t>
  </si>
  <si>
    <t>Emergent Devices</t>
  </si>
  <si>
    <t>NARCAN</t>
  </si>
  <si>
    <t>60758011905</t>
  </si>
  <si>
    <t>PREDNISOLONE AC 1% EYE DROP</t>
  </si>
  <si>
    <t>Pacific</t>
  </si>
  <si>
    <t>PREDNISOLONE ACETATE</t>
  </si>
  <si>
    <t>65862025047</t>
  </si>
  <si>
    <t>00002821501</t>
  </si>
  <si>
    <t>HUMULIN R 100 UNIT/ML VIAL</t>
  </si>
  <si>
    <t>73352051010</t>
  </si>
  <si>
    <t>METHOCARBAMOL 1,000 MG TABLET</t>
  </si>
  <si>
    <t>METHOCARBAMOL</t>
  </si>
  <si>
    <t>73562011101</t>
  </si>
  <si>
    <t>ZENPEP DR 15,000 UNIT CAPSULE</t>
  </si>
  <si>
    <t>60505466503</t>
  </si>
  <si>
    <t>52246057004</t>
  </si>
  <si>
    <t>SPINOSAD 0.9% TOPICAL SUSP</t>
  </si>
  <si>
    <t>Allegis</t>
  </si>
  <si>
    <t>SPINOSAD</t>
  </si>
  <si>
    <t>00555097402</t>
  </si>
  <si>
    <t>DEXTROAMP-AMPHETAMIN 30 MG TAB</t>
  </si>
  <si>
    <t>13811071030</t>
  </si>
  <si>
    <t>METHYLPHENIDATE ER 72 MG TAB</t>
  </si>
  <si>
    <t>50419054002</t>
  </si>
  <si>
    <t>52817062008</t>
  </si>
  <si>
    <t>BACLOFEN 10 MG/5 ML SOLUTION</t>
  </si>
  <si>
    <t>68462012605</t>
  </si>
  <si>
    <t>GABAPENTIN 600 MG TABLET</t>
  </si>
  <si>
    <t>00046110281</t>
  </si>
  <si>
    <t>PREMARIN 0.625 MG TABLET</t>
  </si>
  <si>
    <t>00186404001</t>
  </si>
  <si>
    <t>NEXIUM DR 40 MG PACKET</t>
  </si>
  <si>
    <t>61958070101</t>
  </si>
  <si>
    <t>TRUVADA 200 MG-300 MG TABLET</t>
  </si>
  <si>
    <t>TRUVADA</t>
  </si>
  <si>
    <t>68180031902</t>
  </si>
  <si>
    <t>BUPROPION HCL XL 150 MG TABLET</t>
  </si>
  <si>
    <t>00115992101</t>
  </si>
  <si>
    <t>DEXMETHYLPHENIDATE ER 20 MG CP</t>
  </si>
  <si>
    <t>DEXMETHYLPHENIDATE</t>
  </si>
  <si>
    <t>59676034001</t>
  </si>
  <si>
    <t>PROCRIT 40,000 UNITS/ML VIAL</t>
  </si>
  <si>
    <t>PROCRIT</t>
  </si>
  <si>
    <t>68968051408</t>
  </si>
  <si>
    <t>COMBIPATCH 0.05-0.14 MG PTCH</t>
  </si>
  <si>
    <t>Noven</t>
  </si>
  <si>
    <t>COMBIPATCH (ESTRADIOL/NORETHINDRONE ACETATE TRANSDERMAL SYSTEM)</t>
  </si>
  <si>
    <t>70954059710</t>
  </si>
  <si>
    <t>PRUCALOPRIDE 2 MG TABLET</t>
  </si>
  <si>
    <t>PRUCALOPRIDE</t>
  </si>
  <si>
    <t>16571086250</t>
  </si>
  <si>
    <t>68382080510</t>
  </si>
  <si>
    <t>45802095226</t>
  </si>
  <si>
    <t>72065012111</t>
  </si>
  <si>
    <t>GVOKE HYPOPEN 1-PK 1 MG/0.2 ML</t>
  </si>
  <si>
    <t>00597028073</t>
  </si>
  <si>
    <t>SYNJARDY XR 10-1,000 MG TABLET</t>
  </si>
  <si>
    <t>83257001411</t>
  </si>
  <si>
    <t>INSULIN GLARGINE-YFGN U100 VL</t>
  </si>
  <si>
    <t>52536060012</t>
  </si>
  <si>
    <t>00641607825</t>
  </si>
  <si>
    <t>50111033401</t>
  </si>
  <si>
    <t>METRONIDAZOLE 500 MG TABLET</t>
  </si>
  <si>
    <t>METRONIDAZOLE</t>
  </si>
  <si>
    <t>00046110511</t>
  </si>
  <si>
    <t>PREMPRO 0.3 MG-1.5 MG TABLET</t>
  </si>
  <si>
    <t>PREMPRO</t>
  </si>
  <si>
    <t>73070040315</t>
  </si>
  <si>
    <t>INSULIN DEGLUDEC FLEXTOUCH 100 UNIT/ML PEN</t>
  </si>
  <si>
    <t>00078050905</t>
  </si>
  <si>
    <t>TEGRETOL 200 MG TABLET</t>
  </si>
  <si>
    <t>TEGRETOL</t>
  </si>
  <si>
    <t>65862084701</t>
  </si>
  <si>
    <t>CLOZAPINE 200 MG TABLET</t>
  </si>
  <si>
    <t>64980058206</t>
  </si>
  <si>
    <t>CHLORZOXAZONE 250 MG TABLET</t>
  </si>
  <si>
    <t>CHLORZOXAZONE</t>
  </si>
  <si>
    <t>70010016305</t>
  </si>
  <si>
    <t>00310620590</t>
  </si>
  <si>
    <t>00781185220</t>
  </si>
  <si>
    <t>73521003002</t>
  </si>
  <si>
    <t>TYRVAYA 0.03 MG NASAL SPRAY</t>
  </si>
  <si>
    <t>Oyster Point</t>
  </si>
  <si>
    <t>TYRVAYA</t>
  </si>
  <si>
    <t>29300024505</t>
  </si>
  <si>
    <t>BUSPIRONE HCL 10 MG TABLET</t>
  </si>
  <si>
    <t>BUSPIRONE</t>
  </si>
  <si>
    <t>00074709530</t>
  </si>
  <si>
    <t>QULIPTA 10 MG TABLET</t>
  </si>
  <si>
    <t>24979000206</t>
  </si>
  <si>
    <t>DEXLANSOPRAZOLE DR 60 MG CAP</t>
  </si>
  <si>
    <t>DEXLANSOPRAZOLE</t>
  </si>
  <si>
    <t>12496009001</t>
  </si>
  <si>
    <t>PERSERIS ER 90 MG SYRINGE KIT</t>
  </si>
  <si>
    <t>70010006505</t>
  </si>
  <si>
    <t>METFORMIN HCL 1,000 MG TABLET</t>
  </si>
  <si>
    <t>76204020060</t>
  </si>
  <si>
    <t>50458064165</t>
  </si>
  <si>
    <t>TOPAMAX 100 MG TABLET</t>
  </si>
  <si>
    <t>TOPAMAX</t>
  </si>
  <si>
    <t>67877032005</t>
  </si>
  <si>
    <t>45802026337</t>
  </si>
  <si>
    <t>CLINDAMYCIN PHOS 1% PLEDGET</t>
  </si>
  <si>
    <t>24208063562</t>
  </si>
  <si>
    <t>NEOMYCIN-POLYMYXIN-HC EAR SUSP</t>
  </si>
  <si>
    <t>65219058401</t>
  </si>
  <si>
    <t>TYENNE 162 MG/0.9 ML AUTOINJCT</t>
  </si>
  <si>
    <t>TYENNE</t>
  </si>
  <si>
    <t>00078069667</t>
  </si>
  <si>
    <t>00480259634</t>
  </si>
  <si>
    <t>FIDAXOMICIN 200 MG TABLET</t>
  </si>
  <si>
    <t>FIDAXOMICIN</t>
  </si>
  <si>
    <t>82009014230</t>
  </si>
  <si>
    <t>Quallent Health</t>
  </si>
  <si>
    <t>31722070110</t>
  </si>
  <si>
    <t>LOSARTAN POTASSIUM 50 MG TAB</t>
  </si>
  <si>
    <t>00378811745</t>
  </si>
  <si>
    <t>DOXEPIN HYDROCHLORIDE</t>
  </si>
  <si>
    <t>68382005105</t>
  </si>
  <si>
    <t>MELOXICAM 15 MG TABLET</t>
  </si>
  <si>
    <t>MELOXICAM</t>
  </si>
  <si>
    <t>55566190101</t>
  </si>
  <si>
    <t>ZOMACTON 10 MG VIAL</t>
  </si>
  <si>
    <t>Ferring</t>
  </si>
  <si>
    <t>ZOMACTON</t>
  </si>
  <si>
    <t>21922003601</t>
  </si>
  <si>
    <t>CLINDAMYCIN PHOSP 1% LOTION</t>
  </si>
  <si>
    <t>70756040411</t>
  </si>
  <si>
    <t>NITROFURANTOIN MONO-MCR 100 MG</t>
  </si>
  <si>
    <t>Lifestar</t>
  </si>
  <si>
    <t>NITROFURANTOIN</t>
  </si>
  <si>
    <t>57844013001</t>
  </si>
  <si>
    <t>ADDERALL 30 MG TABLET</t>
  </si>
  <si>
    <t>54436027504</t>
  </si>
  <si>
    <t>XYOSTED 75 MG/0.5 ML AUTO-INJ</t>
  </si>
  <si>
    <t>Antares</t>
  </si>
  <si>
    <t>XYOSTED</t>
  </si>
  <si>
    <t>65862001205</t>
  </si>
  <si>
    <t>65862092127</t>
  </si>
  <si>
    <t>SEVELAMER CARBONATE 800 MG TAB</t>
  </si>
  <si>
    <t>SEVELAMER CARBONATE</t>
  </si>
  <si>
    <t>50458064265</t>
  </si>
  <si>
    <t>TOPAMAX 200 MG TABLET</t>
  </si>
  <si>
    <t>43386023770</t>
  </si>
  <si>
    <t>CYANOCOBALAMIN 500 MCG SPRAY</t>
  </si>
  <si>
    <t>CYANOCOBALAMIN</t>
  </si>
  <si>
    <t>29300022705</t>
  </si>
  <si>
    <t>51672140709</t>
  </si>
  <si>
    <t>TRETINOIN 0.025% CREAM</t>
  </si>
  <si>
    <t>24478011001</t>
  </si>
  <si>
    <t>DYANAVEL XR 20 MG TABLET</t>
  </si>
  <si>
    <t>00037024523</t>
  </si>
  <si>
    <t>DYMISTA NASAL SPRAY</t>
  </si>
  <si>
    <t>DYMISTA</t>
  </si>
  <si>
    <t>00781300107</t>
  </si>
  <si>
    <t>OMNITROPE 5 MG/1.5 ML CRTG</t>
  </si>
  <si>
    <t>OMNITROPE</t>
  </si>
  <si>
    <t>16571011450</t>
  </si>
  <si>
    <t>HYDROXYZINE HCL 25 MG TABLET</t>
  </si>
  <si>
    <t>70010006599</t>
  </si>
  <si>
    <t>00456241060</t>
  </si>
  <si>
    <t>SAPHRIS 10 MG TAB SUBLINGUAL</t>
  </si>
  <si>
    <t>SAPHRIS</t>
  </si>
  <si>
    <t>68382013210</t>
  </si>
  <si>
    <t>62756042790</t>
  </si>
  <si>
    <t>61314063705</t>
  </si>
  <si>
    <t>00517072001</t>
  </si>
  <si>
    <t>BETAMETHASONE SP-AC 30 MG/5 ML</t>
  </si>
  <si>
    <t>American Regent</t>
  </si>
  <si>
    <t>BETAMETHASONE</t>
  </si>
  <si>
    <t>69097083412</t>
  </si>
  <si>
    <t>69097012815</t>
  </si>
  <si>
    <t>43068010102</t>
  </si>
  <si>
    <t>FANAPT 1 MG TABLET</t>
  </si>
  <si>
    <t>60505392701</t>
  </si>
  <si>
    <t>GUANFACINE HCL ER 1 MG TABLET</t>
  </si>
  <si>
    <t>GUANFACINE</t>
  </si>
  <si>
    <t>65862007175</t>
  </si>
  <si>
    <t>69452012550</t>
  </si>
  <si>
    <t>OXCARBAZEPINE 300 MG/5 ML SUSP</t>
  </si>
  <si>
    <t>47781056601</t>
  </si>
  <si>
    <t>LISDEXAMFETAMINE 50 MG CAPSULE</t>
  </si>
  <si>
    <t>82580002002</t>
  </si>
  <si>
    <t>NEFFY 2 MG/0.1 ML NASAL SPRAY</t>
  </si>
  <si>
    <t>Ars Operations</t>
  </si>
  <si>
    <t>NEFFY</t>
  </si>
  <si>
    <t>00074455290</t>
  </si>
  <si>
    <t>SYNTHROID 50 MCG TABLET</t>
  </si>
  <si>
    <t>LEVOTHYROXINE</t>
  </si>
  <si>
    <t>63323051610</t>
  </si>
  <si>
    <t>DEXAMETHASONE 100 MG/10 ML VL</t>
  </si>
  <si>
    <t>64764080530</t>
  </si>
  <si>
    <t>ROZEREM 8 MG TABLET</t>
  </si>
  <si>
    <t>ROZEREM</t>
  </si>
  <si>
    <t>23155049001</t>
  </si>
  <si>
    <t>DESMOPRESSIN ACETATE 0.2 MG TB</t>
  </si>
  <si>
    <t>Heritage</t>
  </si>
  <si>
    <t>DESMOPRESSIN</t>
  </si>
  <si>
    <t>65862019405</t>
  </si>
  <si>
    <t>FLUOXETINE HCL 40 MG CAPSULE</t>
  </si>
  <si>
    <t>FLUOXETINE</t>
  </si>
  <si>
    <t>42806041605</t>
  </si>
  <si>
    <t>66993049528</t>
  </si>
  <si>
    <t>TERIPARATIDE 560 MCG/2.24 ML PEN</t>
  </si>
  <si>
    <t>TERIPARATIDE</t>
  </si>
  <si>
    <t>68180015106</t>
  </si>
  <si>
    <t>50458057501</t>
  </si>
  <si>
    <t>XARELTO 1 MG/ML SUSPENSION</t>
  </si>
  <si>
    <t>54436020004</t>
  </si>
  <si>
    <t>XYOSTED 100 MG/0.5 ML AUTO-INJ</t>
  </si>
  <si>
    <t>00115991901</t>
  </si>
  <si>
    <t>DEXMETHYLPHENIDATE ER 10 MG CP</t>
  </si>
  <si>
    <t>68462013901</t>
  </si>
  <si>
    <t>OXCARBAZEPINE 600 MG TABLET</t>
  </si>
  <si>
    <t>00603020922</t>
  </si>
  <si>
    <t>MAGNESIUM OXIDE 400 MG TABLET</t>
  </si>
  <si>
    <t>OXIDE</t>
  </si>
  <si>
    <t>67877032105</t>
  </si>
  <si>
    <t>45802011222</t>
  </si>
  <si>
    <t>60505392801</t>
  </si>
  <si>
    <t>GUANFACINE HCL ER 2 MG TABLET</t>
  </si>
  <si>
    <t>00378705852</t>
  </si>
  <si>
    <t>ALBUTEROL SUL 1.25 MG/3 ML SOL</t>
  </si>
  <si>
    <t>62559063001</t>
  </si>
  <si>
    <t>ERYTHROMYCIN 200 MG/5 ML SUSP</t>
  </si>
  <si>
    <t>ERYTHROMYCIN ETHYLSUCCINATE</t>
  </si>
  <si>
    <t>00574220545</t>
  </si>
  <si>
    <t>TRETINOIN 0.05% CREAM</t>
  </si>
  <si>
    <t>70954031610</t>
  </si>
  <si>
    <t>FAMOTIDINE 40 MG/5 ML SUSP</t>
  </si>
  <si>
    <t>FAMOTIDINE</t>
  </si>
  <si>
    <t>68180031909</t>
  </si>
  <si>
    <t>64850051301</t>
  </si>
  <si>
    <t>DEXTROAMP-AMPHET ER 20 MG CAP</t>
  </si>
  <si>
    <t>59651000305</t>
  </si>
  <si>
    <t>13668013610</t>
  </si>
  <si>
    <t>Torrent</t>
  </si>
  <si>
    <t>62856058252</t>
  </si>
  <si>
    <t>BANZEL 200 MG TABLET</t>
  </si>
  <si>
    <t>00536589588</t>
  </si>
  <si>
    <t>00115169549</t>
  </si>
  <si>
    <t>00406012501</t>
  </si>
  <si>
    <t>50111064801</t>
  </si>
  <si>
    <t>FLUOXETINE HCL 20 MG CAPSULE</t>
  </si>
  <si>
    <t>59385002660</t>
  </si>
  <si>
    <t>BELBUCA 750 MCG FILM</t>
  </si>
  <si>
    <t>29300022019</t>
  </si>
  <si>
    <t>68462013801</t>
  </si>
  <si>
    <t>OXCARBAZEPINE 300 MG TABLET</t>
  </si>
  <si>
    <t>68180072304</t>
  </si>
  <si>
    <t>CEFDINIR 250 MG/5 ML SUSP</t>
  </si>
  <si>
    <t>CEFDINIR</t>
  </si>
  <si>
    <t>16714079904</t>
  </si>
  <si>
    <t>Northstar Rx</t>
  </si>
  <si>
    <t>31722070210</t>
  </si>
  <si>
    <t>64380087267</t>
  </si>
  <si>
    <t>65162019050</t>
  </si>
  <si>
    <t>69238207807</t>
  </si>
  <si>
    <t>PROPRANOLOL 20 MG TABLET</t>
  </si>
  <si>
    <t>42806034401</t>
  </si>
  <si>
    <t>00378932132</t>
  </si>
  <si>
    <t>WIXELA 250-50 INHUB</t>
  </si>
  <si>
    <t>54123011430</t>
  </si>
  <si>
    <t>ZUBSOLV 11.4-2.9 MG TABLET SL</t>
  </si>
  <si>
    <t>29300012510</t>
  </si>
  <si>
    <t>45802086802</t>
  </si>
  <si>
    <t>10094021060</t>
  </si>
  <si>
    <t>SYMPAZAN 10 MG FILM</t>
  </si>
  <si>
    <t>Aquestive</t>
  </si>
  <si>
    <t>SYMPAZAN</t>
  </si>
  <si>
    <t>49884014811</t>
  </si>
  <si>
    <t>59651040112</t>
  </si>
  <si>
    <t>CLOBAZAM 2.5 MG/ML SUSPENSION</t>
  </si>
  <si>
    <t>CLOBAZAM</t>
  </si>
  <si>
    <t>57841115002</t>
  </si>
  <si>
    <t>TALICIA DR 10-250-12.5 MG CAP</t>
  </si>
  <si>
    <t>Redhill Biopharma</t>
  </si>
  <si>
    <t>TALICIA</t>
  </si>
  <si>
    <t>43598076823</t>
  </si>
  <si>
    <t>SUMATRIPTAN 6 MG/0.5 ML AUTOINJ</t>
  </si>
  <si>
    <t>SUMATRIPTAN</t>
  </si>
  <si>
    <t>00143992490</t>
  </si>
  <si>
    <t>CEFAZOLIN 1 GM VIAL</t>
  </si>
  <si>
    <t>CEFAZOLIN</t>
  </si>
  <si>
    <t>00002823305</t>
  </si>
  <si>
    <t>INSULIN LISPRO MIX 75-25 KWKPN</t>
  </si>
  <si>
    <t>INSULIN LISPRO PROTAMINE AND INSULIN LISPRO INJECTABLE SUSPENSION</t>
  </si>
  <si>
    <t>78206018401</t>
  </si>
  <si>
    <t>HADLIMA PUSHTOUCH 40 MG/0.8 ML</t>
  </si>
  <si>
    <t>52817033200</t>
  </si>
  <si>
    <t>CYCLOBENZAPRINE 10 MG TABLET</t>
  </si>
  <si>
    <t>Trupharma</t>
  </si>
  <si>
    <t>CYCLOBENZAPRINE</t>
  </si>
  <si>
    <t>00456240560</t>
  </si>
  <si>
    <t>SAPHRIS 5 MG TAB SUBLINGUAL</t>
  </si>
  <si>
    <t>00078087601</t>
  </si>
  <si>
    <t>TOBRADEX EYE OINTMENT</t>
  </si>
  <si>
    <t>TOBRADEX</t>
  </si>
  <si>
    <t>59310058020</t>
  </si>
  <si>
    <t>PROAIR RESPICLICK 90 MCG INHLR</t>
  </si>
  <si>
    <t>PROAIR RESPICLICK</t>
  </si>
  <si>
    <t>00904685272</t>
  </si>
  <si>
    <t>61314062810</t>
  </si>
  <si>
    <t>POLYMYXIN B-TMP EYE DROPS</t>
  </si>
  <si>
    <t>POLYMYXIN B; TRIMETHOPRIM</t>
  </si>
  <si>
    <t>65862057490</t>
  </si>
  <si>
    <t>29300012810</t>
  </si>
  <si>
    <t>HYDROCHLOROTHIAZIDE 25 MG TAB</t>
  </si>
  <si>
    <t>HYDROCHLOROTHIAZIDE</t>
  </si>
  <si>
    <t>00713085004</t>
  </si>
  <si>
    <t>GRISEOFULVIN 125 MG/5 ML SUSP</t>
  </si>
  <si>
    <t>Cosette</t>
  </si>
  <si>
    <t>GRISEOFULVIN</t>
  </si>
  <si>
    <t>10094022060</t>
  </si>
  <si>
    <t>SYMPAZAN 20 MG FILM</t>
  </si>
  <si>
    <t>65862001501</t>
  </si>
  <si>
    <t>AMOXICILLIN 875 MG TABLET</t>
  </si>
  <si>
    <t>65862039110</t>
  </si>
  <si>
    <t>ONDANSETRON ODT 8 MG TABLET</t>
  </si>
  <si>
    <t>54092038101</t>
  </si>
  <si>
    <t>ADDERALL XR 5 MG CAPSULE</t>
  </si>
  <si>
    <t>60505083305</t>
  </si>
  <si>
    <t>47781035803</t>
  </si>
  <si>
    <t>67877022310</t>
  </si>
  <si>
    <t>00185067605</t>
  </si>
  <si>
    <t>HYDROXYZINE PAM 50 MG CAP</t>
  </si>
  <si>
    <t>65862021960</t>
  </si>
  <si>
    <t>65862064169</t>
  </si>
  <si>
    <t>AZITHROMYCIN 250 MG TABLET</t>
  </si>
  <si>
    <t>AZITHROMYCIN</t>
  </si>
  <si>
    <t>68382050010</t>
  </si>
  <si>
    <t>65862017760</t>
  </si>
  <si>
    <t>CEFDINIR 300 MG CAPSULE</t>
  </si>
  <si>
    <t>00456151060</t>
  </si>
  <si>
    <t>SAVELLA 100 MG TABLET</t>
  </si>
  <si>
    <t>64980059324</t>
  </si>
  <si>
    <t>NITROFURANTOIN 25 MG/5 ML SUSP</t>
  </si>
  <si>
    <t>51672213108</t>
  </si>
  <si>
    <t>CHILD LORATADINE 5 MG/5 ML SOL</t>
  </si>
  <si>
    <t>59767001601</t>
  </si>
  <si>
    <t>PERTZYE DR 16,000 UNIT CAPSULE</t>
  </si>
  <si>
    <t>00536303023</t>
  </si>
  <si>
    <t>NICOTINE 4 MG CHEWING GUM</t>
  </si>
  <si>
    <t>00006537403</t>
  </si>
  <si>
    <t>SEGLUROMET 7.5-1,000 MG TABLET</t>
  </si>
  <si>
    <t>SEGLUROMET</t>
  </si>
  <si>
    <t>67919004104</t>
  </si>
  <si>
    <t>SIVEXTRO 200 MG TABLET</t>
  </si>
  <si>
    <t>SIVEXTRO</t>
  </si>
  <si>
    <t>00006503001</t>
  </si>
  <si>
    <t>VERQUVO 10 MG TABLET</t>
  </si>
  <si>
    <t>VERQUVO</t>
  </si>
  <si>
    <t>00052060202</t>
  </si>
  <si>
    <t>BCG (TICE STRAIN) VIAL</t>
  </si>
  <si>
    <t>TICE BCG</t>
  </si>
  <si>
    <t>00006046102</t>
  </si>
  <si>
    <t>EMEND 80 MG CAPSULE</t>
  </si>
  <si>
    <t>EMEND</t>
  </si>
  <si>
    <t>00006536803</t>
  </si>
  <si>
    <t>STEGLUJAN 15-100 MG TABLET</t>
  </si>
  <si>
    <t>STEGLUJAN</t>
  </si>
  <si>
    <t>00085432001</t>
  </si>
  <si>
    <t>CELESTONE SOLUSPAN 30 MG/5 ML</t>
  </si>
  <si>
    <t>CELESTONE</t>
  </si>
  <si>
    <t>00006003220</t>
  </si>
  <si>
    <t>STROMECTOL 3 MG TABLET</t>
  </si>
  <si>
    <t>STROMECTOL</t>
  </si>
  <si>
    <t>00006384371</t>
  </si>
  <si>
    <t>INVANZ 1 GM VIAL</t>
  </si>
  <si>
    <t>INVANZ</t>
  </si>
  <si>
    <t>00006307402</t>
  </si>
  <si>
    <t>ZEPATIER 50-100 MG TABLET</t>
  </si>
  <si>
    <t>ZEPATIER</t>
  </si>
  <si>
    <t>00085132801</t>
  </si>
  <si>
    <t>NOXAFIL 40 MG/ML SUSPENSION</t>
  </si>
  <si>
    <t>NOXAFIL</t>
  </si>
  <si>
    <t>Year</t>
  </si>
  <si>
    <t>Price Tracker: inputs</t>
  </si>
  <si>
    <t>Change the yellow cells. Everything on the Tracker and Entry scenario sheets recalculates.</t>
  </si>
  <si>
    <t>Pack (drug, strength, package)</t>
  </si>
  <si>
    <t>1011 packs: the 1000 with the most 2025 Medicaid spend, plus the Merck headline packs</t>
  </si>
  <si>
    <t>a class or therapeutic area; its equal-weight price index is compared with the pack</t>
  </si>
  <si>
    <t>a year's rate is the average of its weekly NADAC rates (at least 20 weeks)</t>
  </si>
  <si>
    <t>What if generics arrive? (cohort medians pre-filled)</t>
  </si>
  <si>
    <t>Volume kept after 4 quarters (%)</t>
  </si>
  <si>
    <t>cohort median 33.1: brand spend index / brand price index</t>
  </si>
  <si>
    <t>Volume kept after 8 quarters (%)</t>
  </si>
  <si>
    <t>cohort median 18.0</t>
  </si>
  <si>
    <t>Brand price move after 4 quarters (%)</t>
  </si>
  <si>
    <t>cohort median +2.7</t>
  </si>
  <si>
    <t>Brand price move after 8 quarters (%)</t>
  </si>
  <si>
    <t>cohort median +3.0</t>
  </si>
  <si>
    <t>(helper) row of the pack on Products</t>
  </si>
  <si>
    <t>Price Tracker</t>
  </si>
  <si>
    <t>NADAC class</t>
  </si>
  <si>
    <t>Therapeutic area</t>
  </si>
  <si>
    <t>Pricing unit</t>
  </si>
  <si>
    <t>Move</t>
  </si>
  <si>
    <t>Rate in base year</t>
  </si>
  <si>
    <t>Rate in end year</t>
  </si>
  <si>
    <t>Annual rate of change</t>
  </si>
  <si>
    <t>Class change, base to end (equal-weight index)</t>
  </si>
  <si>
    <t>Pack against class (percentage points)</t>
  </si>
  <si>
    <t>Value and rank</t>
  </si>
  <si>
    <t>Medicaid units, 2025</t>
  </si>
  <si>
    <t>Annual value of the change at 2025 volume</t>
  </si>
  <si>
    <t>Latest weekly rate</t>
  </si>
  <si>
    <t>Packs with both rates (of those listed)</t>
  </si>
  <si>
    <t>Share of those packs that moved less than this one</t>
  </si>
  <si>
    <t>Year by year</t>
  </si>
  <si>
    <t>Pack rate</t>
  </si>
  <si>
    <t>Pack year-on-year</t>
  </si>
  <si>
    <t>Class index</t>
  </si>
  <si>
    <t>Class year-on-year</t>
  </si>
  <si>
    <t>If generics arrive: an annual value, not a forecast</t>
  </si>
  <si>
    <t>Starts from the pack's latest weekly NADAC rate and its 2025 Medicaid units. The price and volume moves are the yellow inputs.</t>
  </si>
  <si>
    <t>Rate</t>
  </si>
  <si>
    <t>Units</t>
  </si>
  <si>
    <t>Annual value at NADAC rate</t>
  </si>
  <si>
    <t>Against today</t>
  </si>
  <si>
    <t>Today</t>
  </si>
  <si>
    <t>After 4 quarters</t>
  </si>
  <si>
    <t>After 8 quarters</t>
  </si>
  <si>
    <t>Reference: what the 48 generic-entry events in Rx Market Pulse show</t>
  </si>
  <si>
    <t>Quarters after entry</t>
  </si>
  <si>
    <t>Median</t>
  </si>
  <si>
    <t>0</t>
  </si>
  <si>
    <t>4</t>
  </si>
  <si>
    <t>8</t>
  </si>
  <si>
    <t>12</t>
  </si>
  <si>
    <t>Brand NADAC price index (before entry = 100)</t>
  </si>
  <si>
    <t>Generic NADAC price index (launch price = 100)</t>
  </si>
  <si>
    <t>Brand Medicaid spend index (year before entry = 100)</t>
  </si>
  <si>
    <t>These are medians across molecules, not a prediction for any one product. Each pack is its own case.</t>
  </si>
  <si>
    <t>Checks</t>
  </si>
  <si>
    <t>Check</t>
  </si>
  <si>
    <t>Value</t>
  </si>
  <si>
    <t>Rule</t>
  </si>
  <si>
    <t>Result</t>
  </si>
  <si>
    <t>The chosen pack is on the Products sheet</t>
  </si>
  <si>
    <t>a row number</t>
  </si>
  <si>
    <t>Base year is before end year</t>
  </si>
  <si>
    <t>base &lt; end</t>
  </si>
  <si>
    <t>The pack has a rate in both years</t>
  </si>
  <si>
    <t>yes</t>
  </si>
  <si>
    <t>The class has an index in both years</t>
  </si>
  <si>
    <t>Volume kept is between 0 and 100</t>
  </si>
  <si>
    <t>0 to 100</t>
  </si>
  <si>
    <t>Products sheet still holds every pack and its 2025 spend</t>
  </si>
  <si>
    <t>72,230,034,741</t>
  </si>
  <si>
    <t>Overall</t>
  </si>
  <si>
    <t>Part of Drug Price Watch: weekly pharmacy drug prices (NADAC) from CMS, 2013 to 2026-10-14</t>
  </si>
  <si>
    <t>What it answers</t>
  </si>
  <si>
    <t>How has this pack's price moved between two years, how did its class move, and what would an annual value look like if generics arrived?</t>
  </si>
  <si>
    <t>Inputs</t>
  </si>
  <si>
    <t>Yellow cells on Inputs: the pack, the class to compare with, base and end year, and four what-if numbers (pre-filled with the medians found in this project).</t>
  </si>
  <si>
    <t>Tracker</t>
  </si>
  <si>
    <t>Live formulas only. A year's rate is the average of the pack's weekly NADAC rates that year (at least 20 weeks). The class index is the equal-weight chained index from the pipeline, averaged by year.</t>
  </si>
  <si>
    <t>Share of packs that moved less</t>
  </si>
  <si>
    <t>Among the packs listed on Products with a rate in both years, the share whose change was smaller than this pack's.</t>
  </si>
  <si>
    <t>Entry scenario</t>
  </si>
  <si>
    <t>Latest weekly rate x 2025 Medicaid units = an annual value at NADAC rates. The scenario applies the price and volume moves you choose. It is arithmetic on assumptions, not a forecast.</t>
  </si>
  <si>
    <t>Not in this workbook</t>
  </si>
  <si>
    <t>Rebates and net price (NADAC is what pharmacies paid, before rebates); clinic-administered products such as Keytruda; anything after the data date.</t>
  </si>
  <si>
    <t>Six formulas that go to CHECK if an input is invalid or the Products sheet is edited.</t>
  </si>
  <si>
    <t>Sources</t>
  </si>
  <si>
    <t>NADAC weekly rates (CMS, data.medicaid.gov); Medicaid units and spend (State Drug Utilization Data, via Rx Market Pulse). github.com/f20230125-sudo/drug-price-watch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</si>
</sst>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##"/>
    <numFmt numFmtId="165" formatCode="0.0%"/>
    <numFmt numFmtId="166" formatCode="\+0.0&quot; pp&quot;;\-0.0&quot; pp&quot;"/>
    <numFmt numFmtId="167" formatCode="\$#,##0;\-\$#,##0"/>
    <numFmt numFmtId="168" formatCode="0.0"/>
  </numFmts>
  <fonts count="10" x14ac:knownFonts="1">
    <font>
      <sz val="11"/>
      <color theme="1"/>
      <name val="Calibri"/>
      <family val="2"/>
      <scheme val="minor"/>
    </font>
    <font>
      <b/>
      <sz val="18"/>
      <color rgb="FF1B2A3A"/>
      <name val="Calibri"/>
      <family val="2"/>
      <scheme val="minor"/>
    </font>
    <font>
      <i/>
      <sz val="10"/>
      <color rgb="FF5B6672"/>
      <name val="Calibri"/>
      <family val="2"/>
      <scheme val="minor"/>
    </font>
    <font>
      <b/>
      <sz val="10"/>
      <color rgb="FF5B6672"/>
      <name val="Calibri"/>
      <family val="2"/>
      <scheme val="minor"/>
    </font>
    <font>
      <sz val="10"/>
      <color rgb="FF5B6672"/>
      <name val="Calibri"/>
      <family val="2"/>
      <scheme val="minor"/>
    </font>
    <font>
      <b/>
      <sz val="10"/>
      <color rgb="FF1D4ED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B2A3A"/>
      <name val="Calibri"/>
      <family val="2"/>
      <scheme val="minor"/>
    </font>
    <font>
      <sz val="10"/>
      <color rgb="FF1B2A3A"/>
      <name val="Calibri"/>
      <family val="2"/>
      <scheme val="minor"/>
    </font>
    <font>
      <b/>
      <sz val="10"/>
      <color rgb="FFB453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6D6"/>
        <bgColor indexed="64"/>
      </patternFill>
    </fill>
    <fill>
      <patternFill patternType="solid">
        <fgColor rgb="FF1B2A3A"/>
        <bgColor indexed="64"/>
      </patternFill>
    </fill>
  </fills>
  <borders count="4">
    <border>
      <left/>
      <right/>
      <top/>
      <bottom/>
      <diagonal/>
    </border>
    <border>
      <left style="thin">
        <color rgb="FFE6D9A8"/>
      </left>
      <right style="thin">
        <color rgb="FFE6D9A8"/>
      </right>
      <top style="thin">
        <color rgb="FFE6D9A8"/>
      </top>
      <bottom style="thin">
        <color rgb="FFE6D9A8"/>
      </bottom>
      <diagonal/>
    </border>
    <border>
      <left/>
      <right/>
      <top/>
      <bottom style="thin">
        <color rgb="FFD9DEE3"/>
      </bottom>
      <diagonal/>
    </border>
    <border>
      <left/>
      <right/>
      <top style="medium">
        <color rgb="FF1B2A3A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3" borderId="0" xfId="0" applyFont="1" applyFill="1" applyAlignment="1">
      <alignment vertical="center" wrapText="1"/>
    </xf>
    <xf numFmtId="0" fontId="7" fillId="0" borderId="0" xfId="0" applyFont="1" applyAlignment="1">
      <alignment horizontal="center"/>
    </xf>
    <xf numFmtId="0" fontId="8" fillId="0" borderId="2" xfId="0" applyFont="1" applyBorder="1"/>
    <xf numFmtId="164" fontId="8" fillId="0" borderId="2" xfId="0" applyNumberFormat="1" applyFont="1" applyBorder="1"/>
    <xf numFmtId="165" fontId="8" fillId="0" borderId="2" xfId="0" applyNumberFormat="1" applyFont="1" applyBorder="1"/>
    <xf numFmtId="166" fontId="8" fillId="0" borderId="2" xfId="0" applyNumberFormat="1" applyFont="1" applyBorder="1"/>
    <xf numFmtId="3" fontId="8" fillId="0" borderId="2" xfId="0" applyNumberFormat="1" applyFont="1" applyBorder="1"/>
    <xf numFmtId="167" fontId="8" fillId="0" borderId="2" xfId="0" applyNumberFormat="1" applyFont="1" applyBorder="1"/>
    <xf numFmtId="0" fontId="6" fillId="3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168" fontId="8" fillId="0" borderId="2" xfId="0" applyNumberFormat="1" applyFont="1" applyBorder="1"/>
    <xf numFmtId="0" fontId="7" fillId="0" borderId="2" xfId="0" applyFont="1" applyBorder="1" applyAlignment="1">
      <alignment horizontal="center"/>
    </xf>
    <xf numFmtId="0" fontId="7" fillId="0" borderId="3" xfId="0" applyFont="1" applyBorder="1"/>
    <xf numFmtId="0" fontId="9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6672"/>
  </sheetPr>
  <dimension ref="B1:B19"/>
  <sheetViews>
    <sheetView showGridLines="0" workbookViewId="0"/>
  </sheetViews>
  <sheetFormatPr defaultRowHeight="14.4" x14ac:dyDescent="0.3"/>
  <cols>
    <col min="1" max="1" width="2.6640625" customWidth="1"/>
    <col min="2" max="2" width="110.6640625" customWidth="1"/>
  </cols>
  <sheetData>
    <row r="1" spans="2:2" ht="23.4" x14ac:dyDescent="0.45">
      <c r="B1" s="1" t="s">
        <v>3541</v>
      </c>
    </row>
    <row r="2" spans="2:2" x14ac:dyDescent="0.3">
      <c r="B2" s="2" t="s">
        <v>3599</v>
      </c>
    </row>
    <row r="4" spans="2:2" x14ac:dyDescent="0.3">
      <c r="B4" s="3" t="s">
        <v>3600</v>
      </c>
    </row>
    <row r="5" spans="2:2" ht="30" customHeight="1" x14ac:dyDescent="0.3">
      <c r="B5" s="4" t="s">
        <v>3601</v>
      </c>
    </row>
    <row r="6" spans="2:2" x14ac:dyDescent="0.3">
      <c r="B6" s="3" t="s">
        <v>3602</v>
      </c>
    </row>
    <row r="7" spans="2:2" ht="30" customHeight="1" x14ac:dyDescent="0.3">
      <c r="B7" s="4" t="s">
        <v>3603</v>
      </c>
    </row>
    <row r="8" spans="2:2" x14ac:dyDescent="0.3">
      <c r="B8" s="3" t="s">
        <v>3604</v>
      </c>
    </row>
    <row r="9" spans="2:2" ht="30" customHeight="1" x14ac:dyDescent="0.3">
      <c r="B9" s="4" t="s">
        <v>3605</v>
      </c>
    </row>
    <row r="10" spans="2:2" x14ac:dyDescent="0.3">
      <c r="B10" s="3" t="s">
        <v>3606</v>
      </c>
    </row>
    <row r="11" spans="2:2" ht="30" customHeight="1" x14ac:dyDescent="0.3">
      <c r="B11" s="4" t="s">
        <v>3607</v>
      </c>
    </row>
    <row r="12" spans="2:2" x14ac:dyDescent="0.3">
      <c r="B12" s="3" t="s">
        <v>3608</v>
      </c>
    </row>
    <row r="13" spans="2:2" ht="30" customHeight="1" x14ac:dyDescent="0.3">
      <c r="B13" s="4" t="s">
        <v>3609</v>
      </c>
    </row>
    <row r="14" spans="2:2" x14ac:dyDescent="0.3">
      <c r="B14" s="3" t="s">
        <v>3610</v>
      </c>
    </row>
    <row r="15" spans="2:2" ht="30" customHeight="1" x14ac:dyDescent="0.3">
      <c r="B15" s="4" t="s">
        <v>3611</v>
      </c>
    </row>
    <row r="16" spans="2:2" x14ac:dyDescent="0.3">
      <c r="B16" s="3" t="s">
        <v>3582</v>
      </c>
    </row>
    <row r="17" spans="2:2" ht="30" customHeight="1" x14ac:dyDescent="0.3">
      <c r="B17" s="4" t="s">
        <v>3612</v>
      </c>
    </row>
    <row r="18" spans="2:2" x14ac:dyDescent="0.3">
      <c r="B18" s="3" t="s">
        <v>3613</v>
      </c>
    </row>
    <row r="19" spans="2:2" ht="30" customHeight="1" x14ac:dyDescent="0.3">
      <c r="B19" s="4" t="s">
        <v>3614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A8A04"/>
  </sheetPr>
  <dimension ref="B1:D15"/>
  <sheetViews>
    <sheetView showGridLines="0" tabSelected="1" workbookViewId="0"/>
  </sheetViews>
  <sheetFormatPr defaultRowHeight="14.4" x14ac:dyDescent="0.3"/>
  <cols>
    <col min="1" max="1" width="2.6640625" customWidth="1"/>
    <col min="2" max="2" width="38.6640625" customWidth="1"/>
    <col min="3" max="3" width="58.6640625" customWidth="1"/>
    <col min="4" max="4" width="60.6640625" customWidth="1"/>
  </cols>
  <sheetData>
    <row r="1" spans="2:4" ht="23.4" x14ac:dyDescent="0.45">
      <c r="B1" s="1" t="s">
        <v>3525</v>
      </c>
    </row>
    <row r="2" spans="2:4" x14ac:dyDescent="0.3">
      <c r="B2" s="2" t="s">
        <v>3526</v>
      </c>
    </row>
    <row r="4" spans="2:4" x14ac:dyDescent="0.3">
      <c r="B4" s="3" t="s">
        <v>3527</v>
      </c>
      <c r="C4" s="5" t="s">
        <v>89</v>
      </c>
      <c r="D4" s="2" t="s">
        <v>3528</v>
      </c>
    </row>
    <row r="5" spans="2:4" x14ac:dyDescent="0.3">
      <c r="B5" s="3" t="s">
        <v>1012</v>
      </c>
      <c r="C5" s="6" t="s">
        <v>1014</v>
      </c>
      <c r="D5" s="2" t="s">
        <v>3529</v>
      </c>
    </row>
    <row r="6" spans="2:4" x14ac:dyDescent="0.3">
      <c r="B6" s="3" t="s">
        <v>1034</v>
      </c>
      <c r="C6" s="6">
        <v>2019</v>
      </c>
    </row>
    <row r="7" spans="2:4" x14ac:dyDescent="0.3">
      <c r="B7" s="3" t="s">
        <v>1035</v>
      </c>
      <c r="C7" s="6">
        <v>2025</v>
      </c>
      <c r="D7" s="2" t="s">
        <v>3530</v>
      </c>
    </row>
    <row r="9" spans="2:4" ht="27.6" x14ac:dyDescent="0.3">
      <c r="B9" s="7" t="s">
        <v>3531</v>
      </c>
      <c r="C9" s="7"/>
    </row>
    <row r="10" spans="2:4" x14ac:dyDescent="0.3">
      <c r="B10" s="3" t="s">
        <v>3532</v>
      </c>
      <c r="C10" s="6">
        <v>33.1</v>
      </c>
      <c r="D10" s="2" t="s">
        <v>3533</v>
      </c>
    </row>
    <row r="11" spans="2:4" x14ac:dyDescent="0.3">
      <c r="B11" s="3" t="s">
        <v>3534</v>
      </c>
      <c r="C11" s="6">
        <v>18</v>
      </c>
      <c r="D11" s="2" t="s">
        <v>3535</v>
      </c>
    </row>
    <row r="12" spans="2:4" x14ac:dyDescent="0.3">
      <c r="B12" s="3" t="s">
        <v>3536</v>
      </c>
      <c r="C12" s="6">
        <v>2.7</v>
      </c>
      <c r="D12" s="2" t="s">
        <v>3537</v>
      </c>
    </row>
    <row r="13" spans="2:4" x14ac:dyDescent="0.3">
      <c r="B13" s="3" t="s">
        <v>3538</v>
      </c>
      <c r="C13" s="6">
        <v>3</v>
      </c>
      <c r="D13" s="2" t="s">
        <v>3539</v>
      </c>
    </row>
    <row r="15" spans="2:4" x14ac:dyDescent="0.3">
      <c r="B15" s="3" t="s">
        <v>3540</v>
      </c>
      <c r="C15" s="8">
        <f>MATCH(Product,p_label,0)</f>
        <v>89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Lists!$A$2:$A$1012</xm:f>
          </x14:formula1>
          <xm:sqref>C4</xm:sqref>
        </x14:dataValidation>
        <x14:dataValidation type="list" allowBlank="1" showInputMessage="1" showErrorMessage="1" xr:uid="{00000000-0002-0000-0100-000001000000}">
          <x14:formula1>
            <xm:f>Lists!$C$2:$C$22</xm:f>
          </x14:formula1>
          <xm:sqref>C5</xm:sqref>
        </x14:dataValidation>
        <x14:dataValidation type="list" allowBlank="1" showInputMessage="1" showErrorMessage="1" xr:uid="{00000000-0002-0000-0100-000002000000}">
          <x14:formula1>
            <xm:f>Lists!$E$2:$E$13</xm:f>
          </x14:formula1>
          <xm:sqref>C6</xm:sqref>
        </x14:dataValidation>
        <x14:dataValidation type="list" allowBlank="1" showInputMessage="1" showErrorMessage="1" xr:uid="{00000000-0002-0000-0100-000003000000}">
          <x14:formula1>
            <xm:f>Lists!$G$2:$G$14</xm:f>
          </x14:formula1>
          <xm:sqref>C7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4531E"/>
  </sheetPr>
  <dimension ref="A1:E3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44.6640625" customWidth="1"/>
    <col min="2" max="7" width="18.6640625" customWidth="1"/>
  </cols>
  <sheetData>
    <row r="1" spans="1:2" ht="23.4" x14ac:dyDescent="0.45">
      <c r="A1" s="1" t="s">
        <v>3541</v>
      </c>
    </row>
    <row r="2" spans="1:2" x14ac:dyDescent="0.3">
      <c r="A2" s="2" t="str">
        <f>"NADAC rate per "&amp;B9&amp;", annual average of weekly rates. Data to 2026-10-14."</f>
        <v>NADAC rate per EA, annual average of weekly rates. Data to 2026-10-14.</v>
      </c>
    </row>
    <row r="3" spans="1:2" x14ac:dyDescent="0.3">
      <c r="A3" s="7" t="s">
        <v>1036</v>
      </c>
      <c r="B3" s="7"/>
    </row>
    <row r="4" spans="1:2" x14ac:dyDescent="0.3">
      <c r="A4" s="3" t="s">
        <v>1038</v>
      </c>
      <c r="B4" s="9" t="str">
        <f>INDEX(p_desc,ProdRow)</f>
        <v>JANUVIA 100 MG TABLET</v>
      </c>
    </row>
    <row r="5" spans="1:2" x14ac:dyDescent="0.3">
      <c r="A5" s="3" t="s">
        <v>1037</v>
      </c>
      <c r="B5" s="9" t="str">
        <f>INDEX(p_ndc,ProdRow)</f>
        <v>00006027731</v>
      </c>
    </row>
    <row r="6" spans="1:2" x14ac:dyDescent="0.3">
      <c r="A6" s="3" t="s">
        <v>3542</v>
      </c>
      <c r="B6" s="9" t="str">
        <f>INDEX(p_segment,ProdRow)</f>
        <v>Brand</v>
      </c>
    </row>
    <row r="7" spans="1:2" x14ac:dyDescent="0.3">
      <c r="A7" s="3" t="s">
        <v>3543</v>
      </c>
      <c r="B7" s="9" t="str">
        <f>INDEX(p_area,ProdRow)</f>
        <v>Diabetes &amp; obesity</v>
      </c>
    </row>
    <row r="8" spans="1:2" x14ac:dyDescent="0.3">
      <c r="A8" s="3" t="s">
        <v>1041</v>
      </c>
      <c r="B8" s="9" t="str">
        <f>INDEX(p_owner,ProdRow)</f>
        <v>Merck (MSD)</v>
      </c>
    </row>
    <row r="9" spans="1:2" x14ac:dyDescent="0.3">
      <c r="A9" s="3" t="s">
        <v>3544</v>
      </c>
      <c r="B9" s="9" t="str">
        <f>INDEX(p_unit,ProdRow)</f>
        <v>EA</v>
      </c>
    </row>
    <row r="10" spans="1:2" x14ac:dyDescent="0.3">
      <c r="A10" s="7" t="s">
        <v>3545</v>
      </c>
      <c r="B10" s="7"/>
    </row>
    <row r="11" spans="1:2" x14ac:dyDescent="0.3">
      <c r="A11" s="3" t="s">
        <v>3546</v>
      </c>
      <c r="B11" s="10">
        <f>IF(ISNUMBER(INDEX(p_prices,ProdRow,MATCH(BaseYear,p_years,0))),INDEX(p_prices,ProdRow,MATCH(BaseYear,p_years,0)),"n/a")</f>
        <v>14.41226384615385</v>
      </c>
    </row>
    <row r="12" spans="1:2" x14ac:dyDescent="0.3">
      <c r="A12" s="3" t="s">
        <v>3547</v>
      </c>
      <c r="B12" s="10">
        <f>IF(ISNUMBER(INDEX(p_prices,ProdRow,MATCH(EndYear,p_years,0))),INDEX(p_prices,ProdRow,MATCH(EndYear,p_years,0)),"n/a")</f>
        <v>10.554373773584899</v>
      </c>
    </row>
    <row r="13" spans="1:2" x14ac:dyDescent="0.3">
      <c r="A13" s="3" t="s">
        <v>1047</v>
      </c>
      <c r="B13" s="11">
        <f>IF(AND(ISNUMBER(B11),ISNUMBER(B12)),B12/B11-1,"n/a")</f>
        <v>-0.26768106064048314</v>
      </c>
    </row>
    <row r="14" spans="1:2" x14ac:dyDescent="0.3">
      <c r="A14" s="3" t="s">
        <v>3548</v>
      </c>
      <c r="B14" s="11">
        <f>IF(AND(ISNUMBER(B13),EndYear&gt;BaseYear),(B12/B11)^(1/(EndYear-BaseYear))-1,"n/a")</f>
        <v>-5.0598214053117929E-2</v>
      </c>
    </row>
    <row r="15" spans="1:2" x14ac:dyDescent="0.3">
      <c r="A15" s="7" t="s">
        <v>1039</v>
      </c>
      <c r="B15" s="7"/>
    </row>
    <row r="16" spans="1:2" x14ac:dyDescent="0.3">
      <c r="A16" s="3" t="s">
        <v>3549</v>
      </c>
      <c r="B16" s="11">
        <f>IF(AND(ISNUMBER(INDEX(c_idx,MATCH(BaseYear,c_years,0),MATCH(Compare,c_groups,0))),ISNUMBER(INDEX(c_idx,MATCH(EndYear,c_years,0),MATCH(Compare,c_groups,0)))),INDEX(c_idx,MATCH(EndYear,c_years,0),MATCH(Compare,c_groups,0))/INDEX(c_idx,MATCH(BaseYear,c_years,0),MATCH(Compare,c_groups,0))-1,"n/a")</f>
        <v>0.12877126131151462</v>
      </c>
    </row>
    <row r="17" spans="1:5" x14ac:dyDescent="0.3">
      <c r="A17" s="3" t="s">
        <v>3550</v>
      </c>
      <c r="B17" s="12">
        <f>IF(AND(ISNUMBER(B13),ISNUMBER(B16)),(B13-B16)*100,"n/a")</f>
        <v>-39.645232195199775</v>
      </c>
    </row>
    <row r="18" spans="1:5" x14ac:dyDescent="0.3">
      <c r="A18" s="7" t="s">
        <v>3551</v>
      </c>
      <c r="B18" s="7"/>
    </row>
    <row r="19" spans="1:5" x14ac:dyDescent="0.3">
      <c r="A19" s="3" t="s">
        <v>3552</v>
      </c>
      <c r="B19" s="13">
        <f>INDEX(p_units,ProdRow)</f>
        <v>16768482.328</v>
      </c>
    </row>
    <row r="20" spans="1:5" x14ac:dyDescent="0.3">
      <c r="A20" s="3" t="s">
        <v>3553</v>
      </c>
      <c r="B20" s="14">
        <f>IF(AND(ISNUMBER(B11),ISNUMBER(B12)),(B12-B11)*B19,"n/a")</f>
        <v>-64690961.505239092</v>
      </c>
    </row>
    <row r="21" spans="1:5" x14ac:dyDescent="0.3">
      <c r="A21" s="3" t="s">
        <v>3554</v>
      </c>
      <c r="B21" s="10">
        <f>INDEX(p_latest,ProdRow)</f>
        <v>10.55179</v>
      </c>
    </row>
    <row r="22" spans="1:5" x14ac:dyDescent="0.3">
      <c r="A22" s="3" t="s">
        <v>3555</v>
      </c>
      <c r="B22" s="13">
        <f>COUNT(p_change)</f>
        <v>530</v>
      </c>
    </row>
    <row r="23" spans="1:5" x14ac:dyDescent="0.3">
      <c r="A23" s="3" t="s">
        <v>3556</v>
      </c>
      <c r="B23" s="11">
        <f>IF(AND(ISNUMBER(B13),B22&gt;0),COUNTIF(p_change,"&lt;"&amp;ROUND(B13,8))/B22,"n/a")</f>
        <v>0.16603773584905659</v>
      </c>
    </row>
    <row r="25" spans="1:5" x14ac:dyDescent="0.3">
      <c r="A25" s="7" t="s">
        <v>3557</v>
      </c>
      <c r="B25" s="15" t="s">
        <v>3558</v>
      </c>
      <c r="C25" s="15" t="s">
        <v>3559</v>
      </c>
      <c r="D25" s="15" t="s">
        <v>3560</v>
      </c>
      <c r="E25" s="15" t="s">
        <v>3561</v>
      </c>
    </row>
    <row r="26" spans="1:5" x14ac:dyDescent="0.3">
      <c r="A26" s="16">
        <v>2013</v>
      </c>
      <c r="B26" s="10" t="str">
        <f t="shared" ref="B26:B39" si="0">IF(ISNUMBER(INDEX(p_prices,ProdRow,MATCH($A26,p_years,0))),INDEX(p_prices,ProdRow,MATCH($A26,p_years,0)),"")</f>
        <v/>
      </c>
      <c r="C26" s="9"/>
      <c r="D26" s="17">
        <f t="shared" ref="D26:D39" si="1">IF(ISNUMBER(INDEX(c_idx,MATCH($A26,c_years,0),MATCH(Compare,c_groups,0))),INDEX(c_idx,MATCH($A26,c_years,0),MATCH(Compare,c_groups,0)),"")</f>
        <v>100.57290201347099</v>
      </c>
      <c r="E26" s="9"/>
    </row>
    <row r="27" spans="1:5" x14ac:dyDescent="0.3">
      <c r="A27" s="16">
        <v>2014</v>
      </c>
      <c r="B27" s="10">
        <f t="shared" si="0"/>
        <v>9.4895890566037817</v>
      </c>
      <c r="C27" s="11" t="str">
        <f t="shared" ref="C27:C39" si="2">IF(AND(ISNUMBER(B27),ISNUMBER(B26)),B27/B26-1,"")</f>
        <v/>
      </c>
      <c r="D27" s="17">
        <f t="shared" si="1"/>
        <v>109.1374686015003</v>
      </c>
      <c r="E27" s="11">
        <f t="shared" ref="E27:E39" si="3">IF(AND(ISNUMBER(D27),ISNUMBER(D26)),D27/D26-1,"")</f>
        <v>8.5157795157210003E-2</v>
      </c>
    </row>
    <row r="28" spans="1:5" x14ac:dyDescent="0.3">
      <c r="A28" s="16">
        <v>2015</v>
      </c>
      <c r="B28" s="10">
        <f t="shared" si="0"/>
        <v>10.890763269230771</v>
      </c>
      <c r="C28" s="11">
        <f t="shared" si="2"/>
        <v>0.14765383456219472</v>
      </c>
      <c r="D28" s="17">
        <f t="shared" si="1"/>
        <v>124.4890370875884</v>
      </c>
      <c r="E28" s="11">
        <f t="shared" si="3"/>
        <v>0.14066267692301104</v>
      </c>
    </row>
    <row r="29" spans="1:5" x14ac:dyDescent="0.3">
      <c r="A29" s="16">
        <v>2016</v>
      </c>
      <c r="B29" s="10">
        <f t="shared" si="0"/>
        <v>11.709141923076929</v>
      </c>
      <c r="C29" s="11">
        <f t="shared" si="2"/>
        <v>7.5144288202305454E-2</v>
      </c>
      <c r="D29" s="17">
        <f t="shared" si="1"/>
        <v>138.2504447616675</v>
      </c>
      <c r="E29" s="11">
        <f t="shared" si="3"/>
        <v>0.11054312890537332</v>
      </c>
    </row>
    <row r="30" spans="1:5" x14ac:dyDescent="0.3">
      <c r="A30" s="16">
        <v>2017</v>
      </c>
      <c r="B30" s="10">
        <f t="shared" si="0"/>
        <v>12.45758442307692</v>
      </c>
      <c r="C30" s="11">
        <f t="shared" si="2"/>
        <v>6.3919500243218019E-2</v>
      </c>
      <c r="D30" s="17">
        <f t="shared" si="1"/>
        <v>148.86883037600191</v>
      </c>
      <c r="E30" s="11">
        <f t="shared" si="3"/>
        <v>7.6805435473568551E-2</v>
      </c>
    </row>
    <row r="31" spans="1:5" x14ac:dyDescent="0.3">
      <c r="A31" s="16">
        <v>2018</v>
      </c>
      <c r="B31" s="10">
        <f t="shared" si="0"/>
        <v>13.71448442307693</v>
      </c>
      <c r="C31" s="11">
        <f t="shared" si="2"/>
        <v>0.10089435939696934</v>
      </c>
      <c r="D31" s="17">
        <f t="shared" si="1"/>
        <v>157.84480217469479</v>
      </c>
      <c r="E31" s="11">
        <f t="shared" si="3"/>
        <v>6.0294500709262122E-2</v>
      </c>
    </row>
    <row r="32" spans="1:5" x14ac:dyDescent="0.3">
      <c r="A32" s="16">
        <v>2019</v>
      </c>
      <c r="B32" s="10">
        <f t="shared" si="0"/>
        <v>14.41226384615385</v>
      </c>
      <c r="C32" s="11">
        <f t="shared" si="2"/>
        <v>5.0879012404052792E-2</v>
      </c>
      <c r="D32" s="17">
        <f t="shared" si="1"/>
        <v>164.3342196583724</v>
      </c>
      <c r="E32" s="11">
        <f t="shared" si="3"/>
        <v>4.1112646056570501E-2</v>
      </c>
    </row>
    <row r="33" spans="1:5" x14ac:dyDescent="0.3">
      <c r="A33" s="16">
        <v>2020</v>
      </c>
      <c r="B33" s="10">
        <f t="shared" si="0"/>
        <v>15.12254679245283</v>
      </c>
      <c r="C33" s="11">
        <f t="shared" si="2"/>
        <v>4.9283232244497821E-2</v>
      </c>
      <c r="D33" s="17">
        <f t="shared" si="1"/>
        <v>169.12040693901849</v>
      </c>
      <c r="E33" s="11">
        <f t="shared" si="3"/>
        <v>2.912471480739609E-2</v>
      </c>
    </row>
    <row r="34" spans="1:5" x14ac:dyDescent="0.3">
      <c r="A34" s="16">
        <v>2021</v>
      </c>
      <c r="B34" s="10">
        <f t="shared" si="0"/>
        <v>15.87590999999999</v>
      </c>
      <c r="C34" s="11">
        <f t="shared" si="2"/>
        <v>4.9817217819629445E-2</v>
      </c>
      <c r="D34" s="17">
        <f t="shared" si="1"/>
        <v>173.9668720841245</v>
      </c>
      <c r="E34" s="11">
        <f t="shared" si="3"/>
        <v>2.8656891458719969E-2</v>
      </c>
    </row>
    <row r="35" spans="1:5" x14ac:dyDescent="0.3">
      <c r="A35" s="16">
        <v>2022</v>
      </c>
      <c r="B35" s="10">
        <f t="shared" si="0"/>
        <v>16.66652346153845</v>
      </c>
      <c r="C35" s="11">
        <f t="shared" si="2"/>
        <v>4.9799568121667415E-2</v>
      </c>
      <c r="D35" s="17">
        <f t="shared" si="1"/>
        <v>179.59514650247709</v>
      </c>
      <c r="E35" s="11">
        <f t="shared" si="3"/>
        <v>3.2352564318285593E-2</v>
      </c>
    </row>
    <row r="36" spans="1:5" x14ac:dyDescent="0.3">
      <c r="A36" s="16">
        <v>2023</v>
      </c>
      <c r="B36" s="10">
        <f t="shared" si="0"/>
        <v>17.472736346153852</v>
      </c>
      <c r="C36" s="11">
        <f t="shared" si="2"/>
        <v>4.8373188714245563E-2</v>
      </c>
      <c r="D36" s="17">
        <f t="shared" si="1"/>
        <v>185.91533076522779</v>
      </c>
      <c r="E36" s="11">
        <f t="shared" si="3"/>
        <v>3.5191286545505518E-2</v>
      </c>
    </row>
    <row r="37" spans="1:5" x14ac:dyDescent="0.3">
      <c r="A37" s="16">
        <v>2024</v>
      </c>
      <c r="B37" s="10">
        <f t="shared" si="0"/>
        <v>18.298023653846169</v>
      </c>
      <c r="C37" s="11">
        <f t="shared" si="2"/>
        <v>4.7232859887683443E-2</v>
      </c>
      <c r="D37" s="17">
        <f t="shared" si="1"/>
        <v>183.61466364302751</v>
      </c>
      <c r="E37" s="11">
        <f t="shared" si="3"/>
        <v>-1.2374811225791538E-2</v>
      </c>
    </row>
    <row r="38" spans="1:5" x14ac:dyDescent="0.3">
      <c r="A38" s="16">
        <v>2025</v>
      </c>
      <c r="B38" s="10">
        <f t="shared" si="0"/>
        <v>10.554373773584899</v>
      </c>
      <c r="C38" s="11">
        <f t="shared" si="2"/>
        <v>-0.42319597060055103</v>
      </c>
      <c r="D38" s="17">
        <f t="shared" si="1"/>
        <v>185.49574440042451</v>
      </c>
      <c r="E38" s="11">
        <f t="shared" si="3"/>
        <v>1.0244719675842839E-2</v>
      </c>
    </row>
    <row r="39" spans="1:5" x14ac:dyDescent="0.3">
      <c r="A39" s="16">
        <v>2026</v>
      </c>
      <c r="B39" s="10">
        <f t="shared" si="0"/>
        <v>10.55428</v>
      </c>
      <c r="C39" s="11">
        <f t="shared" si="2"/>
        <v>-8.8848080341819013E-6</v>
      </c>
      <c r="D39" s="17">
        <f t="shared" si="1"/>
        <v>185.11786957148621</v>
      </c>
      <c r="E39" s="11">
        <f t="shared" si="3"/>
        <v>-2.0371078062179082E-3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4531E"/>
  </sheetPr>
  <dimension ref="A1:E19"/>
  <sheetViews>
    <sheetView showGridLines="0" workbookViewId="0"/>
  </sheetViews>
  <sheetFormatPr defaultRowHeight="14.4" x14ac:dyDescent="0.3"/>
  <cols>
    <col min="1" max="1" width="34.6640625" customWidth="1"/>
    <col min="2" max="6" width="18.6640625" customWidth="1"/>
  </cols>
  <sheetData>
    <row r="1" spans="1:5" ht="23.4" x14ac:dyDescent="0.45">
      <c r="A1" s="1" t="s">
        <v>3562</v>
      </c>
    </row>
    <row r="2" spans="1:5" x14ac:dyDescent="0.3">
      <c r="A2" s="2" t="s">
        <v>3563</v>
      </c>
    </row>
    <row r="4" spans="1:5" x14ac:dyDescent="0.3">
      <c r="A4" s="3" t="s">
        <v>1036</v>
      </c>
      <c r="B4" s="9" t="str">
        <f>INDEX(p_desc,ProdRow)</f>
        <v>JANUVIA 100 MG TABLET</v>
      </c>
    </row>
    <row r="5" spans="1:5" x14ac:dyDescent="0.3">
      <c r="A5" s="3" t="s">
        <v>3554</v>
      </c>
      <c r="B5" s="10">
        <f>INDEX(p_latest,ProdRow)</f>
        <v>10.55179</v>
      </c>
    </row>
    <row r="6" spans="1:5" x14ac:dyDescent="0.3">
      <c r="A6" s="3" t="s">
        <v>3552</v>
      </c>
      <c r="B6" s="13">
        <f>INDEX(p_units,ProdRow)</f>
        <v>16768482.328</v>
      </c>
    </row>
    <row r="8" spans="1:5" ht="27.6" x14ac:dyDescent="0.3">
      <c r="A8" s="15"/>
      <c r="B8" s="15" t="s">
        <v>3564</v>
      </c>
      <c r="C8" s="15" t="s">
        <v>3565</v>
      </c>
      <c r="D8" s="15" t="s">
        <v>3566</v>
      </c>
      <c r="E8" s="15" t="s">
        <v>3567</v>
      </c>
    </row>
    <row r="9" spans="1:5" x14ac:dyDescent="0.3">
      <c r="A9" s="3" t="s">
        <v>3568</v>
      </c>
      <c r="B9" s="10">
        <f>B5</f>
        <v>10.55179</v>
      </c>
      <c r="C9" s="13">
        <f>B6</f>
        <v>16768482.328</v>
      </c>
      <c r="D9" s="14">
        <f>B9*C9</f>
        <v>176937504.14376712</v>
      </c>
      <c r="E9" s="11">
        <f>IF(D9&gt;0,D9/D9,"n/a")</f>
        <v>1</v>
      </c>
    </row>
    <row r="10" spans="1:5" x14ac:dyDescent="0.3">
      <c r="A10" s="3" t="s">
        <v>3569</v>
      </c>
      <c r="B10" s="10">
        <f>B5*(1+Move4/100)</f>
        <v>10.836688329999999</v>
      </c>
      <c r="C10" s="13">
        <f>B6*Keep4/100</f>
        <v>5550367.650568</v>
      </c>
      <c r="D10" s="14">
        <f>B10*C10</f>
        <v>60147604.346119761</v>
      </c>
      <c r="E10" s="11">
        <f>IF(D9&gt;0,D10/D9,"n/a")</f>
        <v>0.33993699999999999</v>
      </c>
    </row>
    <row r="11" spans="1:5" x14ac:dyDescent="0.3">
      <c r="A11" s="3" t="s">
        <v>3570</v>
      </c>
      <c r="B11" s="10">
        <f>B5*(1+Move8/100)</f>
        <v>10.8683437</v>
      </c>
      <c r="C11" s="13">
        <f>B6*Keep8/100</f>
        <v>3018326.81904</v>
      </c>
      <c r="D11" s="14">
        <f>B11*C11</f>
        <v>32804213.268254425</v>
      </c>
      <c r="E11" s="11">
        <f>IF(D9&gt;0,D11/D9,"n/a")</f>
        <v>0.18540000000000001</v>
      </c>
    </row>
    <row r="13" spans="1:5" ht="27.6" x14ac:dyDescent="0.3">
      <c r="A13" s="7" t="s">
        <v>3571</v>
      </c>
      <c r="B13" s="7" t="s">
        <v>3572</v>
      </c>
      <c r="C13" s="7"/>
      <c r="D13" s="7"/>
      <c r="E13" s="7"/>
    </row>
    <row r="14" spans="1:5" x14ac:dyDescent="0.3">
      <c r="A14" s="15" t="s">
        <v>3573</v>
      </c>
      <c r="B14" s="15" t="s">
        <v>3574</v>
      </c>
      <c r="C14" s="15" t="s">
        <v>3575</v>
      </c>
      <c r="D14" s="15" t="s">
        <v>3576</v>
      </c>
      <c r="E14" s="15" t="s">
        <v>3577</v>
      </c>
    </row>
    <row r="15" spans="1:5" x14ac:dyDescent="0.3">
      <c r="A15" s="9" t="s">
        <v>3578</v>
      </c>
      <c r="B15" s="17">
        <v>100</v>
      </c>
      <c r="C15" s="17">
        <v>102.66741502853711</v>
      </c>
      <c r="D15" s="17">
        <v>102.95976764589921</v>
      </c>
      <c r="E15" s="17">
        <v>103.87910944215361</v>
      </c>
    </row>
    <row r="16" spans="1:5" x14ac:dyDescent="0.3">
      <c r="A16" s="9" t="s">
        <v>3579</v>
      </c>
      <c r="B16" s="17">
        <v>100</v>
      </c>
      <c r="C16" s="17">
        <v>80.281529155566062</v>
      </c>
      <c r="D16" s="17">
        <v>71.31148600045276</v>
      </c>
      <c r="E16" s="17">
        <v>56.272692881721547</v>
      </c>
    </row>
    <row r="17" spans="1:5" x14ac:dyDescent="0.3">
      <c r="A17" s="9" t="s">
        <v>3580</v>
      </c>
      <c r="B17" s="9"/>
      <c r="C17" s="17">
        <v>34</v>
      </c>
      <c r="D17" s="17">
        <v>18.5</v>
      </c>
      <c r="E17" s="9"/>
    </row>
    <row r="19" spans="1:5" ht="41.4" x14ac:dyDescent="0.3">
      <c r="A19" s="4" t="s">
        <v>3581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6672"/>
  </sheetPr>
  <dimension ref="B1:E12"/>
  <sheetViews>
    <sheetView showGridLines="0" workbookViewId="0"/>
  </sheetViews>
  <sheetFormatPr defaultRowHeight="14.4" x14ac:dyDescent="0.3"/>
  <cols>
    <col min="1" max="1" width="3.6640625" customWidth="1"/>
    <col min="2" max="2" width="60.6640625" customWidth="1"/>
    <col min="3" max="4" width="22.6640625" customWidth="1"/>
    <col min="5" max="5" width="12.6640625" customWidth="1"/>
  </cols>
  <sheetData>
    <row r="1" spans="2:5" ht="23.4" x14ac:dyDescent="0.45">
      <c r="B1" s="1" t="s">
        <v>3582</v>
      </c>
    </row>
    <row r="4" spans="2:5" x14ac:dyDescent="0.3">
      <c r="B4" s="7" t="s">
        <v>3583</v>
      </c>
      <c r="C4" s="7" t="s">
        <v>3584</v>
      </c>
      <c r="D4" s="7" t="s">
        <v>3585</v>
      </c>
      <c r="E4" s="7" t="s">
        <v>3586</v>
      </c>
    </row>
    <row r="5" spans="2:5" x14ac:dyDescent="0.3">
      <c r="B5" s="9" t="s">
        <v>3587</v>
      </c>
      <c r="C5" s="16">
        <f>ProdRow</f>
        <v>89</v>
      </c>
      <c r="D5" s="16" t="s">
        <v>3588</v>
      </c>
      <c r="E5" s="18" t="str">
        <f>IF(ISNUMBER(C5),"OK","CHECK")</f>
        <v>OK</v>
      </c>
    </row>
    <row r="6" spans="2:5" x14ac:dyDescent="0.3">
      <c r="B6" s="9" t="s">
        <v>3589</v>
      </c>
      <c r="C6" s="16" t="str">
        <f>BaseYear&amp;" &lt; "&amp;EndYear</f>
        <v>2019 &lt; 2025</v>
      </c>
      <c r="D6" s="16" t="s">
        <v>3590</v>
      </c>
      <c r="E6" s="18" t="str">
        <f>IF(BaseYear&lt;EndYear,"OK","CHECK")</f>
        <v>OK</v>
      </c>
    </row>
    <row r="7" spans="2:5" x14ac:dyDescent="0.3">
      <c r="B7" s="9" t="s">
        <v>3591</v>
      </c>
      <c r="C7" s="16" t="str">
        <f>IF(AND(ISNUMBER(Tracker!B11),ISNUMBER(Tracker!B12)),"yes","no")</f>
        <v>yes</v>
      </c>
      <c r="D7" s="16" t="s">
        <v>3592</v>
      </c>
      <c r="E7" s="18" t="str">
        <f>IF(C7="yes","OK","CHECK")</f>
        <v>OK</v>
      </c>
    </row>
    <row r="8" spans="2:5" x14ac:dyDescent="0.3">
      <c r="B8" s="9" t="s">
        <v>3593</v>
      </c>
      <c r="C8" s="16" t="str">
        <f>IF(ISNUMBER(Tracker!B16),"yes","no")</f>
        <v>yes</v>
      </c>
      <c r="D8" s="16" t="s">
        <v>3592</v>
      </c>
      <c r="E8" s="18" t="str">
        <f>IF(C8="yes","OK","CHECK")</f>
        <v>OK</v>
      </c>
    </row>
    <row r="9" spans="2:5" x14ac:dyDescent="0.3">
      <c r="B9" s="9" t="s">
        <v>3594</v>
      </c>
      <c r="C9" s="16" t="str">
        <f>Keep4&amp;" / "&amp;Keep8</f>
        <v>33.1 / 18</v>
      </c>
      <c r="D9" s="16" t="s">
        <v>3595</v>
      </c>
      <c r="E9" s="18" t="str">
        <f>IF(AND(Keep4&gt;=0,Keep4&lt;=100,Keep8&gt;=0,Keep8&lt;=100),"OK","CHECK")</f>
        <v>OK</v>
      </c>
    </row>
    <row r="10" spans="2:5" x14ac:dyDescent="0.3">
      <c r="B10" s="9" t="s">
        <v>3596</v>
      </c>
      <c r="C10" s="16">
        <f>SUM(p_spend)</f>
        <v>72230034740.840027</v>
      </c>
      <c r="D10" s="16" t="s">
        <v>3597</v>
      </c>
      <c r="E10" s="18" t="str">
        <f>IF(AND(COUNTA(p_label)=1011,ABS(C10-72230034740.84)&lt;1),"OK","CHECK")</f>
        <v>OK</v>
      </c>
    </row>
    <row r="12" spans="2:5" x14ac:dyDescent="0.3">
      <c r="B12" s="19" t="s">
        <v>3598</v>
      </c>
      <c r="E12" s="20" t="str">
        <f>IF(COUNTIF(E5:E10,"OK")=ROWS(E5:E10),"ALL OK","CHECK")</f>
        <v>ALL OK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4A3B8"/>
  </sheetPr>
  <dimension ref="A1:Z1012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4" x14ac:dyDescent="0.3"/>
  <cols>
    <col min="1" max="1" width="44.6640625" customWidth="1"/>
    <col min="2" max="2" width="13.6640625" customWidth="1"/>
    <col min="3" max="3" width="36.6640625" customWidth="1"/>
    <col min="4" max="7" width="18.6640625" customWidth="1"/>
    <col min="8" max="26" width="13.6640625" customWidth="1"/>
  </cols>
  <sheetData>
    <row r="1" spans="1:26" ht="27.6" x14ac:dyDescent="0.3">
      <c r="A1" s="7" t="s">
        <v>1036</v>
      </c>
      <c r="B1" s="7" t="s">
        <v>1037</v>
      </c>
      <c r="C1" s="7" t="s">
        <v>1038</v>
      </c>
      <c r="D1" s="7" t="s">
        <v>1039</v>
      </c>
      <c r="E1" s="7" t="s">
        <v>1040</v>
      </c>
      <c r="F1" s="7" t="s">
        <v>1041</v>
      </c>
      <c r="G1" s="7" t="s">
        <v>1042</v>
      </c>
      <c r="H1" s="7" t="s">
        <v>1043</v>
      </c>
      <c r="I1" s="7" t="s">
        <v>1044</v>
      </c>
      <c r="J1" s="7" t="s">
        <v>1045</v>
      </c>
      <c r="K1" s="7" t="s">
        <v>1046</v>
      </c>
      <c r="L1" s="7">
        <v>2013</v>
      </c>
      <c r="M1" s="7">
        <v>2014</v>
      </c>
      <c r="N1" s="7">
        <v>2015</v>
      </c>
      <c r="O1" s="7">
        <v>2016</v>
      </c>
      <c r="P1" s="7">
        <v>2017</v>
      </c>
      <c r="Q1" s="7">
        <v>2018</v>
      </c>
      <c r="R1" s="7">
        <v>2019</v>
      </c>
      <c r="S1" s="7">
        <v>2020</v>
      </c>
      <c r="T1" s="7">
        <v>2021</v>
      </c>
      <c r="U1" s="7">
        <v>2022</v>
      </c>
      <c r="V1" s="7">
        <v>2023</v>
      </c>
      <c r="W1" s="7">
        <v>2024</v>
      </c>
      <c r="X1" s="7">
        <v>2025</v>
      </c>
      <c r="Y1" s="7">
        <v>2026</v>
      </c>
      <c r="Z1" s="7" t="s">
        <v>1047</v>
      </c>
    </row>
    <row r="2" spans="1:26" x14ac:dyDescent="0.3">
      <c r="A2" t="s">
        <v>1</v>
      </c>
      <c r="B2" t="s">
        <v>1048</v>
      </c>
      <c r="C2" t="s">
        <v>1049</v>
      </c>
      <c r="D2" t="s">
        <v>1014</v>
      </c>
      <c r="E2" t="s">
        <v>1023</v>
      </c>
      <c r="F2" t="s">
        <v>1050</v>
      </c>
      <c r="G2" t="s">
        <v>1051</v>
      </c>
      <c r="H2" s="13">
        <v>24890127</v>
      </c>
      <c r="I2" s="14">
        <v>3373475118.8200002</v>
      </c>
      <c r="J2" t="s">
        <v>1052</v>
      </c>
      <c r="K2" s="10">
        <v>136.72839999999999</v>
      </c>
      <c r="Q2" s="10">
        <v>94.757591250000033</v>
      </c>
      <c r="R2" s="10">
        <v>98.798284999999993</v>
      </c>
      <c r="S2" s="10">
        <v>104.5609005660377</v>
      </c>
      <c r="T2" s="10">
        <v>109.42209692307701</v>
      </c>
      <c r="U2" s="10">
        <v>115.52132384615381</v>
      </c>
      <c r="V2" s="10">
        <v>122.5551251923076</v>
      </c>
      <c r="W2" s="10">
        <v>128.83372384615379</v>
      </c>
      <c r="X2" s="10">
        <v>136.29838660377351</v>
      </c>
      <c r="Y2" s="10">
        <v>136.73236414634141</v>
      </c>
      <c r="Z2" s="11">
        <f t="shared" ref="Z2:Z65" si="0">IF(AND(ISNUMBER(INDEX($L2:$Y2,MATCH(BaseYear,p_years,0))),ISNUMBER(INDEX($L2:$Y2,MATCH(EndYear,p_years,0)))),ROUND(INDEX($L2:$Y2,MATCH(EndYear,p_years,0))/INDEX($L2:$Y2,MATCH(BaseYear,p_years,0))-1,8),"")</f>
        <v>0.37956226999999998</v>
      </c>
    </row>
    <row r="3" spans="1:26" x14ac:dyDescent="0.3">
      <c r="A3" t="s">
        <v>2</v>
      </c>
      <c r="B3" t="s">
        <v>1053</v>
      </c>
      <c r="C3" t="s">
        <v>1054</v>
      </c>
      <c r="D3" t="s">
        <v>1014</v>
      </c>
      <c r="E3" t="s">
        <v>1025</v>
      </c>
      <c r="F3" t="s">
        <v>1055</v>
      </c>
      <c r="G3" t="s">
        <v>1056</v>
      </c>
      <c r="H3" s="13">
        <v>676943.36499999999</v>
      </c>
      <c r="I3" s="14">
        <v>2260053368.7800002</v>
      </c>
      <c r="J3" t="s">
        <v>1052</v>
      </c>
      <c r="K3" s="10">
        <v>3367.4147899999998</v>
      </c>
      <c r="R3" s="10">
        <v>2516.965402692309</v>
      </c>
      <c r="S3" s="10">
        <v>2703.328186037736</v>
      </c>
      <c r="T3" s="10">
        <v>2903.5989280769249</v>
      </c>
      <c r="U3" s="10">
        <v>3109.3418546153848</v>
      </c>
      <c r="V3" s="10">
        <v>3366.6884361538469</v>
      </c>
      <c r="W3" s="10">
        <v>3365.2667415384622</v>
      </c>
      <c r="X3" s="10">
        <v>3363.049620754718</v>
      </c>
      <c r="Y3" s="10">
        <v>3366.4524565853671</v>
      </c>
      <c r="Z3" s="11">
        <f t="shared" si="0"/>
        <v>0.33615250000000002</v>
      </c>
    </row>
    <row r="4" spans="1:26" x14ac:dyDescent="0.3">
      <c r="A4" t="s">
        <v>3</v>
      </c>
      <c r="B4" t="s">
        <v>1057</v>
      </c>
      <c r="C4" t="s">
        <v>1058</v>
      </c>
      <c r="D4" t="s">
        <v>1014</v>
      </c>
      <c r="E4" t="s">
        <v>1025</v>
      </c>
      <c r="F4" t="s">
        <v>1059</v>
      </c>
      <c r="G4" t="s">
        <v>1060</v>
      </c>
      <c r="H4" s="13">
        <v>1962232.601</v>
      </c>
      <c r="I4" s="14">
        <v>1865168588.1700001</v>
      </c>
      <c r="J4" t="s">
        <v>1061</v>
      </c>
      <c r="K4" s="10">
        <v>1009.5592</v>
      </c>
      <c r="U4" s="10">
        <v>815.52727679999953</v>
      </c>
      <c r="V4" s="10">
        <v>866.79398711538568</v>
      </c>
      <c r="W4" s="10">
        <v>917.25556288461541</v>
      </c>
      <c r="X4" s="10">
        <v>960.58332018867929</v>
      </c>
      <c r="Y4" s="10">
        <v>1008.8735936585369</v>
      </c>
      <c r="Z4" s="11" t="str">
        <f t="shared" si="0"/>
        <v/>
      </c>
    </row>
    <row r="5" spans="1:26" x14ac:dyDescent="0.3">
      <c r="A5" t="s">
        <v>4</v>
      </c>
      <c r="B5" t="s">
        <v>1062</v>
      </c>
      <c r="C5" t="s">
        <v>1063</v>
      </c>
      <c r="D5" t="s">
        <v>1014</v>
      </c>
      <c r="E5" t="s">
        <v>1019</v>
      </c>
      <c r="F5" t="s">
        <v>1064</v>
      </c>
      <c r="G5" t="s">
        <v>1065</v>
      </c>
      <c r="H5" s="13">
        <v>4207493.25</v>
      </c>
      <c r="I5" s="14">
        <v>1352167576.0799999</v>
      </c>
      <c r="J5" t="s">
        <v>1061</v>
      </c>
      <c r="K5" s="10">
        <v>331.99085000000002</v>
      </c>
      <c r="V5" s="10">
        <v>300.29632060606059</v>
      </c>
      <c r="W5" s="10">
        <v>311.24003769230791</v>
      </c>
      <c r="X5" s="10">
        <v>321.70330584905639</v>
      </c>
      <c r="Y5" s="10">
        <v>332.00104146341482</v>
      </c>
      <c r="Z5" s="11" t="str">
        <f t="shared" si="0"/>
        <v/>
      </c>
    </row>
    <row r="6" spans="1:26" x14ac:dyDescent="0.3">
      <c r="A6" t="s">
        <v>5</v>
      </c>
      <c r="B6" t="s">
        <v>1066</v>
      </c>
      <c r="C6" t="s">
        <v>1067</v>
      </c>
      <c r="D6" t="s">
        <v>1014</v>
      </c>
      <c r="E6" t="s">
        <v>1027</v>
      </c>
      <c r="F6" t="s">
        <v>1068</v>
      </c>
      <c r="G6" t="s">
        <v>1069</v>
      </c>
      <c r="H6" s="13">
        <v>566377.58299999998</v>
      </c>
      <c r="I6" s="14">
        <v>1278634013.8900001</v>
      </c>
      <c r="J6" t="s">
        <v>1061</v>
      </c>
      <c r="K6" s="10">
        <v>2338.4745800000001</v>
      </c>
      <c r="M6" s="10">
        <v>1198.242233773585</v>
      </c>
      <c r="N6" s="10">
        <v>1282.368227692308</v>
      </c>
      <c r="O6" s="10">
        <v>1392.076006153846</v>
      </c>
      <c r="P6" s="10">
        <v>1498.7253459615381</v>
      </c>
      <c r="Q6" s="10">
        <v>1604.162099615384</v>
      </c>
      <c r="R6" s="10">
        <v>1710.389650961539</v>
      </c>
      <c r="S6" s="10">
        <v>1792.519721509434</v>
      </c>
      <c r="T6" s="10">
        <v>1880.984988653845</v>
      </c>
      <c r="U6" s="10">
        <v>1998.3602784615371</v>
      </c>
      <c r="V6" s="10">
        <v>2142.1904876923081</v>
      </c>
      <c r="W6" s="10">
        <v>2226.484674807693</v>
      </c>
      <c r="X6" s="10">
        <v>2282.98209264151</v>
      </c>
      <c r="Y6" s="10">
        <v>2338.5634821951198</v>
      </c>
      <c r="Z6" s="11">
        <f t="shared" si="0"/>
        <v>0.33477309999999999</v>
      </c>
    </row>
    <row r="7" spans="1:26" x14ac:dyDescent="0.3">
      <c r="A7" t="s">
        <v>6</v>
      </c>
      <c r="B7" t="s">
        <v>1070</v>
      </c>
      <c r="C7" t="s">
        <v>1071</v>
      </c>
      <c r="D7" t="s">
        <v>1014</v>
      </c>
      <c r="E7" t="s">
        <v>1019</v>
      </c>
      <c r="F7" t="s">
        <v>1064</v>
      </c>
      <c r="G7" t="s">
        <v>1065</v>
      </c>
      <c r="H7" s="13">
        <v>3932149.9989999998</v>
      </c>
      <c r="I7" s="14">
        <v>1261455171.3199999</v>
      </c>
      <c r="J7" t="s">
        <v>1061</v>
      </c>
      <c r="K7" s="10">
        <v>331.97208000000001</v>
      </c>
      <c r="U7" s="10">
        <v>285.84673000000021</v>
      </c>
      <c r="V7" s="10">
        <v>299.97872365384632</v>
      </c>
      <c r="W7" s="10">
        <v>311.29814269230792</v>
      </c>
      <c r="X7" s="10">
        <v>321.61823339622651</v>
      </c>
      <c r="Y7" s="10">
        <v>331.95415097560982</v>
      </c>
      <c r="Z7" s="11" t="str">
        <f t="shared" si="0"/>
        <v/>
      </c>
    </row>
    <row r="8" spans="1:26" x14ac:dyDescent="0.3">
      <c r="A8" t="s">
        <v>7</v>
      </c>
      <c r="B8" t="s">
        <v>1072</v>
      </c>
      <c r="C8" t="s">
        <v>1073</v>
      </c>
      <c r="D8" t="s">
        <v>1014</v>
      </c>
      <c r="E8" t="s">
        <v>1018</v>
      </c>
      <c r="F8" t="s">
        <v>1074</v>
      </c>
      <c r="G8" t="s">
        <v>1075</v>
      </c>
      <c r="H8" s="13">
        <v>126358836.28</v>
      </c>
      <c r="I8" s="14">
        <v>1232204793.6500001</v>
      </c>
      <c r="J8" t="s">
        <v>1052</v>
      </c>
      <c r="K8" s="10">
        <v>5.5211399999999999</v>
      </c>
      <c r="M8" s="10">
        <v>4.6356541509433917</v>
      </c>
      <c r="N8" s="10">
        <v>5.1866444230769231</v>
      </c>
      <c r="O8" s="10">
        <v>5.6780380769230776</v>
      </c>
      <c r="P8" s="10">
        <v>6.2096419230769202</v>
      </c>
      <c r="Q8" s="10">
        <v>6.6993171153846127</v>
      </c>
      <c r="R8" s="10">
        <v>7.1036096153846122</v>
      </c>
      <c r="S8" s="10">
        <v>7.5267541509433959</v>
      </c>
      <c r="T8" s="10">
        <v>7.9757990384615418</v>
      </c>
      <c r="U8" s="10">
        <v>8.4552975000000057</v>
      </c>
      <c r="V8" s="10">
        <v>8.9611853846153782</v>
      </c>
      <c r="W8" s="10">
        <v>9.4988071153846185</v>
      </c>
      <c r="X8" s="10">
        <v>9.6918132075471615</v>
      </c>
      <c r="Y8" s="10">
        <v>5.6259251219512212</v>
      </c>
      <c r="Z8" s="11">
        <f t="shared" si="0"/>
        <v>0.36435047999999998</v>
      </c>
    </row>
    <row r="9" spans="1:26" x14ac:dyDescent="0.3">
      <c r="A9" t="s">
        <v>8</v>
      </c>
      <c r="B9" t="s">
        <v>1076</v>
      </c>
      <c r="C9" t="s">
        <v>1077</v>
      </c>
      <c r="D9" t="s">
        <v>1014</v>
      </c>
      <c r="E9" t="s">
        <v>1025</v>
      </c>
      <c r="F9" t="s">
        <v>1068</v>
      </c>
      <c r="G9" t="s">
        <v>1078</v>
      </c>
      <c r="H9" s="13">
        <v>42817.120999999999</v>
      </c>
      <c r="I9" s="14">
        <v>1188301029.47</v>
      </c>
      <c r="J9" t="s">
        <v>1061</v>
      </c>
      <c r="K9" s="10">
        <v>29792.786670000001</v>
      </c>
      <c r="M9" s="10">
        <v>13911.50641396227</v>
      </c>
      <c r="N9" s="10">
        <v>14920.63368019231</v>
      </c>
      <c r="O9" s="10">
        <v>16717.335427346941</v>
      </c>
      <c r="P9" s="10">
        <v>18309.47121377779</v>
      </c>
      <c r="Q9" s="10">
        <v>19934.551381153859</v>
      </c>
      <c r="R9" s="10">
        <v>21304.484960000002</v>
      </c>
      <c r="S9" s="10">
        <v>22293.060760188659</v>
      </c>
      <c r="T9" s="10">
        <v>23285.347959999981</v>
      </c>
      <c r="U9" s="10">
        <v>24531.871231153851</v>
      </c>
      <c r="V9" s="10">
        <v>25507.328378461549</v>
      </c>
      <c r="W9" s="10">
        <v>26811.99745076925</v>
      </c>
      <c r="X9" s="10">
        <v>28272.893559056611</v>
      </c>
      <c r="Y9" s="10">
        <v>29764.767335365868</v>
      </c>
      <c r="Z9" s="11">
        <f t="shared" si="0"/>
        <v>0.32708646000000002</v>
      </c>
    </row>
    <row r="10" spans="1:26" x14ac:dyDescent="0.3">
      <c r="A10" t="s">
        <v>9</v>
      </c>
      <c r="B10" t="s">
        <v>1079</v>
      </c>
      <c r="C10" t="s">
        <v>1080</v>
      </c>
      <c r="D10" t="s">
        <v>1014</v>
      </c>
      <c r="E10" t="s">
        <v>1019</v>
      </c>
      <c r="F10" t="s">
        <v>1081</v>
      </c>
      <c r="G10" t="s">
        <v>1082</v>
      </c>
      <c r="H10" s="13">
        <v>57638958.700000003</v>
      </c>
      <c r="I10" s="14">
        <v>1167670737.6800001</v>
      </c>
      <c r="J10" t="s">
        <v>1052</v>
      </c>
      <c r="K10" s="10">
        <v>11.1897</v>
      </c>
      <c r="N10" s="10">
        <v>11.02634865384616</v>
      </c>
      <c r="O10" s="10">
        <v>12.30024730769231</v>
      </c>
      <c r="P10" s="10">
        <v>13.796170576923069</v>
      </c>
      <c r="Q10" s="10">
        <v>14.90310576923077</v>
      </c>
      <c r="R10" s="10">
        <v>15.7558976923077</v>
      </c>
      <c r="S10" s="10">
        <v>16.67956018867924</v>
      </c>
      <c r="T10" s="10">
        <v>17.52648403846154</v>
      </c>
      <c r="U10" s="10">
        <v>18.208534230769221</v>
      </c>
      <c r="V10" s="10">
        <v>18.965958076923069</v>
      </c>
      <c r="W10" s="10">
        <v>19.541654999999981</v>
      </c>
      <c r="X10" s="10">
        <v>20.117547735849051</v>
      </c>
      <c r="Y10" s="10">
        <v>11.19403707317074</v>
      </c>
      <c r="Z10" s="11">
        <f t="shared" si="0"/>
        <v>0.27682649999999998</v>
      </c>
    </row>
    <row r="11" spans="1:26" x14ac:dyDescent="0.3">
      <c r="A11" t="s">
        <v>10</v>
      </c>
      <c r="B11" t="s">
        <v>1083</v>
      </c>
      <c r="C11" t="s">
        <v>1084</v>
      </c>
      <c r="D11" t="s">
        <v>1014</v>
      </c>
      <c r="E11" t="s">
        <v>1019</v>
      </c>
      <c r="F11" t="s">
        <v>1064</v>
      </c>
      <c r="G11" t="s">
        <v>1065</v>
      </c>
      <c r="H11" s="13">
        <v>3543601.8</v>
      </c>
      <c r="I11" s="14">
        <v>1137036504.79</v>
      </c>
      <c r="J11" t="s">
        <v>1061</v>
      </c>
      <c r="K11" s="10">
        <v>331.90037000000001</v>
      </c>
      <c r="T11" s="10">
        <v>273.99233999999979</v>
      </c>
      <c r="U11" s="10">
        <v>286.75938576923079</v>
      </c>
      <c r="V11" s="10">
        <v>300.70408769230738</v>
      </c>
      <c r="W11" s="10">
        <v>311.33186653846172</v>
      </c>
      <c r="X11" s="10">
        <v>321.66911641509432</v>
      </c>
      <c r="Y11" s="10">
        <v>331.94956292682917</v>
      </c>
      <c r="Z11" s="11" t="str">
        <f t="shared" si="0"/>
        <v/>
      </c>
    </row>
    <row r="12" spans="1:26" x14ac:dyDescent="0.3">
      <c r="A12" t="s">
        <v>11</v>
      </c>
      <c r="B12" t="s">
        <v>1085</v>
      </c>
      <c r="C12" t="s">
        <v>1086</v>
      </c>
      <c r="D12" t="s">
        <v>1014</v>
      </c>
      <c r="E12" t="s">
        <v>1025</v>
      </c>
      <c r="F12" t="s">
        <v>1055</v>
      </c>
      <c r="G12" t="s">
        <v>1087</v>
      </c>
      <c r="H12" s="13">
        <v>55461.934999999998</v>
      </c>
      <c r="I12" s="14">
        <v>1075466325.6500001</v>
      </c>
      <c r="J12" t="s">
        <v>1061</v>
      </c>
      <c r="K12" s="10">
        <v>22774.360909999999</v>
      </c>
      <c r="V12" s="10">
        <v>19026.630433846141</v>
      </c>
      <c r="W12" s="10">
        <v>20235.429094423071</v>
      </c>
      <c r="X12" s="10">
        <v>21452.290271320759</v>
      </c>
      <c r="Y12" s="10">
        <v>22738.776283414649</v>
      </c>
      <c r="Z12" s="11" t="str">
        <f t="shared" si="0"/>
        <v/>
      </c>
    </row>
    <row r="13" spans="1:26" x14ac:dyDescent="0.3">
      <c r="A13" t="s">
        <v>12</v>
      </c>
      <c r="B13" t="s">
        <v>1088</v>
      </c>
      <c r="C13" t="s">
        <v>1089</v>
      </c>
      <c r="D13" t="s">
        <v>1014</v>
      </c>
      <c r="E13" t="s">
        <v>1019</v>
      </c>
      <c r="F13" t="s">
        <v>1081</v>
      </c>
      <c r="G13" t="s">
        <v>1082</v>
      </c>
      <c r="H13" s="13">
        <v>50854768.803000003</v>
      </c>
      <c r="I13" s="14">
        <v>1033577313.13</v>
      </c>
      <c r="J13" t="s">
        <v>1052</v>
      </c>
      <c r="K13" s="10">
        <v>11.18929</v>
      </c>
      <c r="N13" s="10">
        <v>10.96027807692308</v>
      </c>
      <c r="O13" s="10">
        <v>12.27245115384615</v>
      </c>
      <c r="P13" s="10">
        <v>13.77119307692308</v>
      </c>
      <c r="Q13" s="10">
        <v>14.85582326923077</v>
      </c>
      <c r="R13" s="10">
        <v>15.749534807692299</v>
      </c>
      <c r="S13" s="10">
        <v>16.680722830188682</v>
      </c>
      <c r="T13" s="10">
        <v>17.525573076923092</v>
      </c>
      <c r="U13" s="10">
        <v>18.207655769230779</v>
      </c>
      <c r="V13" s="10">
        <v>18.964373269230769</v>
      </c>
      <c r="W13" s="10">
        <v>19.541973461538468</v>
      </c>
      <c r="X13" s="10">
        <v>20.11835056603773</v>
      </c>
      <c r="Y13" s="10">
        <v>11.19383292682927</v>
      </c>
      <c r="Z13" s="11">
        <f t="shared" si="0"/>
        <v>0.27739332</v>
      </c>
    </row>
    <row r="14" spans="1:26" x14ac:dyDescent="0.3">
      <c r="A14" t="s">
        <v>13</v>
      </c>
      <c r="B14" t="s">
        <v>1090</v>
      </c>
      <c r="C14" t="s">
        <v>1091</v>
      </c>
      <c r="D14" t="s">
        <v>1014</v>
      </c>
      <c r="E14" t="s">
        <v>1025</v>
      </c>
      <c r="F14" t="s">
        <v>1092</v>
      </c>
      <c r="G14" t="s">
        <v>1093</v>
      </c>
      <c r="H14" s="13">
        <v>463473.68</v>
      </c>
      <c r="I14" s="14">
        <v>907038803.19000006</v>
      </c>
      <c r="J14" t="s">
        <v>1061</v>
      </c>
      <c r="K14" s="10">
        <v>2083.4783900000002</v>
      </c>
      <c r="S14" s="10">
        <v>1346.5076316981131</v>
      </c>
      <c r="T14" s="10">
        <v>1444.7878180769239</v>
      </c>
      <c r="U14" s="10">
        <v>1571.882698076922</v>
      </c>
      <c r="V14" s="10">
        <v>1715.724964999999</v>
      </c>
      <c r="W14" s="10">
        <v>1814.4430561538461</v>
      </c>
      <c r="X14" s="10">
        <v>1978.283750943398</v>
      </c>
      <c r="Y14" s="10">
        <v>2080.9220004878061</v>
      </c>
      <c r="Z14" s="11" t="str">
        <f t="shared" si="0"/>
        <v/>
      </c>
    </row>
    <row r="15" spans="1:26" x14ac:dyDescent="0.3">
      <c r="A15" t="s">
        <v>14</v>
      </c>
      <c r="B15" t="s">
        <v>1094</v>
      </c>
      <c r="C15" t="s">
        <v>1095</v>
      </c>
      <c r="D15" t="s">
        <v>1014</v>
      </c>
      <c r="E15" t="s">
        <v>1025</v>
      </c>
      <c r="F15" t="s">
        <v>1096</v>
      </c>
      <c r="G15" t="s">
        <v>1097</v>
      </c>
      <c r="H15" s="13">
        <v>193702.67499999999</v>
      </c>
      <c r="I15" s="14">
        <v>724963881.75</v>
      </c>
      <c r="J15" t="s">
        <v>1061</v>
      </c>
      <c r="K15" s="10">
        <v>4087.4066699999998</v>
      </c>
      <c r="W15" s="10">
        <v>3599.0628421428592</v>
      </c>
      <c r="X15" s="10">
        <v>3768.953095094339</v>
      </c>
      <c r="Y15" s="10">
        <v>4088.951318780486</v>
      </c>
      <c r="Z15" s="11" t="str">
        <f t="shared" si="0"/>
        <v/>
      </c>
    </row>
    <row r="16" spans="1:26" x14ac:dyDescent="0.3">
      <c r="A16" t="s">
        <v>15</v>
      </c>
      <c r="B16" t="s">
        <v>1098</v>
      </c>
      <c r="C16" t="s">
        <v>1099</v>
      </c>
      <c r="D16" t="s">
        <v>1014</v>
      </c>
      <c r="E16" t="s">
        <v>1019</v>
      </c>
      <c r="F16" t="s">
        <v>1064</v>
      </c>
      <c r="G16" t="s">
        <v>1100</v>
      </c>
      <c r="H16" s="13">
        <v>1665988.25</v>
      </c>
      <c r="I16" s="14">
        <v>719841569.49000001</v>
      </c>
      <c r="J16" t="s">
        <v>1061</v>
      </c>
      <c r="K16" s="10">
        <v>435.52629000000002</v>
      </c>
      <c r="U16" s="10">
        <v>432.92341769230751</v>
      </c>
      <c r="V16" s="10">
        <v>431.92417557692301</v>
      </c>
      <c r="W16" s="10">
        <v>432.86521307692288</v>
      </c>
      <c r="X16" s="10">
        <v>434.60832924528302</v>
      </c>
      <c r="Y16" s="10">
        <v>435.44917414634148</v>
      </c>
      <c r="Z16" s="11" t="str">
        <f t="shared" si="0"/>
        <v/>
      </c>
    </row>
    <row r="17" spans="1:26" x14ac:dyDescent="0.3">
      <c r="A17" t="s">
        <v>16</v>
      </c>
      <c r="B17" t="s">
        <v>1101</v>
      </c>
      <c r="C17" t="s">
        <v>1102</v>
      </c>
      <c r="D17" t="s">
        <v>1014</v>
      </c>
      <c r="E17" t="s">
        <v>1027</v>
      </c>
      <c r="F17" t="s">
        <v>1055</v>
      </c>
      <c r="G17" t="s">
        <v>1103</v>
      </c>
      <c r="H17" s="13">
        <v>14463050.114</v>
      </c>
      <c r="I17" s="14">
        <v>702648867.27999997</v>
      </c>
      <c r="J17" t="s">
        <v>1052</v>
      </c>
      <c r="K17" s="10">
        <v>50.842370000000003</v>
      </c>
      <c r="O17" s="10">
        <v>32.183308333333343</v>
      </c>
      <c r="P17" s="10">
        <v>34.236296730769233</v>
      </c>
      <c r="Q17" s="10">
        <v>38.27287134615387</v>
      </c>
      <c r="R17" s="10">
        <v>38.445119615384627</v>
      </c>
      <c r="S17" s="10">
        <v>39.132245283018868</v>
      </c>
      <c r="T17" s="10">
        <v>40.485634038461519</v>
      </c>
      <c r="U17" s="10">
        <v>41.868923846153862</v>
      </c>
      <c r="V17" s="10">
        <v>44.02486653846158</v>
      </c>
      <c r="W17" s="10">
        <v>46.223014230769238</v>
      </c>
      <c r="X17" s="10">
        <v>48.50789245283017</v>
      </c>
      <c r="Y17" s="10">
        <v>50.857940975609772</v>
      </c>
      <c r="Z17" s="11">
        <f t="shared" si="0"/>
        <v>0.26174383000000001</v>
      </c>
    </row>
    <row r="18" spans="1:26" x14ac:dyDescent="0.3">
      <c r="A18" t="s">
        <v>17</v>
      </c>
      <c r="B18" t="s">
        <v>1104</v>
      </c>
      <c r="C18" t="s">
        <v>1105</v>
      </c>
      <c r="D18" t="s">
        <v>1014</v>
      </c>
      <c r="E18" t="s">
        <v>1019</v>
      </c>
      <c r="F18" t="s">
        <v>1106</v>
      </c>
      <c r="G18" t="s">
        <v>1107</v>
      </c>
      <c r="H18" s="13">
        <v>36323334.789999999</v>
      </c>
      <c r="I18" s="14">
        <v>700111157.03999996</v>
      </c>
      <c r="J18" t="s">
        <v>1052</v>
      </c>
      <c r="K18" s="10">
        <v>12.077030000000001</v>
      </c>
      <c r="N18" s="10">
        <v>11.14163285714285</v>
      </c>
      <c r="O18" s="10">
        <v>12.356241923076929</v>
      </c>
      <c r="P18" s="10">
        <v>13.738805384615381</v>
      </c>
      <c r="Q18" s="10">
        <v>14.864155384615399</v>
      </c>
      <c r="R18" s="10">
        <v>15.76017038461538</v>
      </c>
      <c r="S18" s="10">
        <v>16.352240566037739</v>
      </c>
      <c r="T18" s="10">
        <v>17.03057384615385</v>
      </c>
      <c r="U18" s="10">
        <v>17.551430384615401</v>
      </c>
      <c r="V18" s="10">
        <v>18.07520846153848</v>
      </c>
      <c r="W18" s="10">
        <v>18.616978076923068</v>
      </c>
      <c r="X18" s="10">
        <v>19.163116603773599</v>
      </c>
      <c r="Y18" s="10">
        <v>12.251928780487811</v>
      </c>
      <c r="Z18" s="11">
        <f t="shared" si="0"/>
        <v>0.21592064999999999</v>
      </c>
    </row>
    <row r="19" spans="1:26" x14ac:dyDescent="0.3">
      <c r="A19" t="s">
        <v>18</v>
      </c>
      <c r="B19" t="s">
        <v>1108</v>
      </c>
      <c r="C19" t="s">
        <v>1109</v>
      </c>
      <c r="D19" t="s">
        <v>1014</v>
      </c>
      <c r="E19" t="s">
        <v>1030</v>
      </c>
      <c r="F19" t="s">
        <v>1110</v>
      </c>
      <c r="G19" t="s">
        <v>1111</v>
      </c>
      <c r="H19" s="13">
        <v>74126259.474999994</v>
      </c>
      <c r="I19" s="14">
        <v>655920015.10000002</v>
      </c>
      <c r="J19" t="s">
        <v>1052</v>
      </c>
      <c r="K19" s="10">
        <v>8.5922099999999997</v>
      </c>
      <c r="M19" s="10">
        <v>6.8285941509433972</v>
      </c>
      <c r="N19" s="10">
        <v>6.8138519230769292</v>
      </c>
      <c r="O19" s="10">
        <v>7.1411017307692353</v>
      </c>
      <c r="P19" s="10">
        <v>7.4470738461538497</v>
      </c>
      <c r="Q19" s="10">
        <v>7.8234848076923056</v>
      </c>
      <c r="R19" s="10">
        <v>8.204206923076919</v>
      </c>
      <c r="S19" s="10">
        <v>8.6074666037735845</v>
      </c>
      <c r="T19" s="10">
        <v>8.61786076923077</v>
      </c>
      <c r="U19" s="10">
        <v>8.619835000000009</v>
      </c>
      <c r="V19" s="10">
        <v>8.6174923076923129</v>
      </c>
      <c r="W19" s="10">
        <v>8.6178703846153866</v>
      </c>
      <c r="X19" s="10">
        <v>8.6035384905660433</v>
      </c>
      <c r="Y19" s="10">
        <v>8.5970992682926859</v>
      </c>
      <c r="Z19" s="11">
        <f t="shared" si="0"/>
        <v>4.8674000000000002E-2</v>
      </c>
    </row>
    <row r="20" spans="1:26" x14ac:dyDescent="0.3">
      <c r="A20" t="s">
        <v>19</v>
      </c>
      <c r="B20" t="s">
        <v>1112</v>
      </c>
      <c r="C20" t="s">
        <v>1113</v>
      </c>
      <c r="D20" t="s">
        <v>1014</v>
      </c>
      <c r="E20" t="s">
        <v>1027</v>
      </c>
      <c r="F20" t="s">
        <v>1114</v>
      </c>
      <c r="G20" t="s">
        <v>1115</v>
      </c>
      <c r="H20" s="13">
        <v>5133560</v>
      </c>
      <c r="I20" s="14">
        <v>632710079.00999999</v>
      </c>
      <c r="J20" t="s">
        <v>1052</v>
      </c>
      <c r="K20" s="10">
        <v>128.66977</v>
      </c>
      <c r="S20" s="10">
        <v>101.90138</v>
      </c>
      <c r="T20" s="10">
        <v>106.89493596153839</v>
      </c>
      <c r="U20" s="10">
        <v>110.0050311538461</v>
      </c>
      <c r="V20" s="10">
        <v>113.94830653846149</v>
      </c>
      <c r="W20" s="10">
        <v>119.7324461538462</v>
      </c>
      <c r="X20" s="10">
        <v>123.27409433962271</v>
      </c>
      <c r="Y20" s="10">
        <v>128.71330658536581</v>
      </c>
      <c r="Z20" s="11" t="str">
        <f t="shared" si="0"/>
        <v/>
      </c>
    </row>
    <row r="21" spans="1:26" x14ac:dyDescent="0.3">
      <c r="A21" t="s">
        <v>20</v>
      </c>
      <c r="B21" t="s">
        <v>1116</v>
      </c>
      <c r="C21" t="s">
        <v>1117</v>
      </c>
      <c r="D21" t="s">
        <v>1014</v>
      </c>
      <c r="E21" t="s">
        <v>1026</v>
      </c>
      <c r="F21" t="s">
        <v>1055</v>
      </c>
      <c r="G21" t="s">
        <v>1118</v>
      </c>
      <c r="H21" s="13">
        <v>3840596</v>
      </c>
      <c r="I21" s="14">
        <v>584939384.21000004</v>
      </c>
      <c r="J21" t="s">
        <v>1052</v>
      </c>
      <c r="K21" s="10">
        <v>152.98338000000001</v>
      </c>
      <c r="Q21" s="10">
        <v>153.34</v>
      </c>
      <c r="R21" s="10">
        <v>153.16109846153839</v>
      </c>
      <c r="S21" s="10">
        <v>153.2554783018868</v>
      </c>
      <c r="T21" s="10">
        <v>153.10953000000001</v>
      </c>
      <c r="U21" s="10">
        <v>152.79</v>
      </c>
      <c r="V21" s="10">
        <v>152.6857430769231</v>
      </c>
      <c r="W21" s="10">
        <v>152.6456190384616</v>
      </c>
      <c r="X21" s="10">
        <v>152.8022220754718</v>
      </c>
      <c r="Y21" s="10">
        <v>152.97102975609761</v>
      </c>
      <c r="Z21" s="11">
        <f t="shared" si="0"/>
        <v>-2.3431300000000001E-3</v>
      </c>
    </row>
    <row r="22" spans="1:26" x14ac:dyDescent="0.3">
      <c r="A22" t="s">
        <v>21</v>
      </c>
      <c r="B22" t="s">
        <v>1119</v>
      </c>
      <c r="C22" t="s">
        <v>1120</v>
      </c>
      <c r="D22" t="s">
        <v>1014</v>
      </c>
      <c r="E22" t="s">
        <v>1025</v>
      </c>
      <c r="F22" t="s">
        <v>1055</v>
      </c>
      <c r="G22" t="s">
        <v>1056</v>
      </c>
      <c r="H22" s="13">
        <v>86145.338000000003</v>
      </c>
      <c r="I22" s="14">
        <v>573598226.84000003</v>
      </c>
      <c r="J22" t="s">
        <v>1052</v>
      </c>
      <c r="K22" s="10">
        <v>6736.7224999999999</v>
      </c>
      <c r="V22" s="10">
        <v>6721.8789999999954</v>
      </c>
      <c r="W22" s="10">
        <v>6726.3749446153861</v>
      </c>
      <c r="X22" s="10">
        <v>6730.6891767924553</v>
      </c>
      <c r="Y22" s="10">
        <v>6732.1251609756091</v>
      </c>
      <c r="Z22" s="11" t="str">
        <f t="shared" si="0"/>
        <v/>
      </c>
    </row>
    <row r="23" spans="1:26" x14ac:dyDescent="0.3">
      <c r="A23" t="s">
        <v>22</v>
      </c>
      <c r="B23" t="s">
        <v>1121</v>
      </c>
      <c r="C23" t="s">
        <v>1122</v>
      </c>
      <c r="D23" t="s">
        <v>1014</v>
      </c>
      <c r="E23" t="s">
        <v>1019</v>
      </c>
      <c r="F23" t="s">
        <v>1123</v>
      </c>
      <c r="G23" t="s">
        <v>1124</v>
      </c>
      <c r="H23" s="13">
        <v>1182062.504</v>
      </c>
      <c r="I23" s="14">
        <v>567359663.22000003</v>
      </c>
      <c r="J23" t="s">
        <v>1061</v>
      </c>
      <c r="K23" s="10">
        <v>487.54289</v>
      </c>
      <c r="N23" s="10">
        <v>248.19490173913059</v>
      </c>
      <c r="O23" s="10">
        <v>284.02988249999999</v>
      </c>
      <c r="P23" s="10">
        <v>316.97205076923098</v>
      </c>
      <c r="Q23" s="10">
        <v>345.85732826923061</v>
      </c>
      <c r="R23" s="10">
        <v>362.72863692307698</v>
      </c>
      <c r="S23" s="10">
        <v>380.7351954716982</v>
      </c>
      <c r="T23" s="10">
        <v>404.75473538461569</v>
      </c>
      <c r="U23" s="10">
        <v>425.2447832692306</v>
      </c>
      <c r="V23" s="10">
        <v>447.18076192307672</v>
      </c>
      <c r="W23" s="10">
        <v>471.21252711538432</v>
      </c>
      <c r="X23" s="10">
        <v>477.34133132075499</v>
      </c>
      <c r="Y23" s="10">
        <v>487.34291365853659</v>
      </c>
      <c r="Z23" s="11">
        <f t="shared" si="0"/>
        <v>0.31597365999999999</v>
      </c>
    </row>
    <row r="24" spans="1:26" x14ac:dyDescent="0.3">
      <c r="A24" t="s">
        <v>23</v>
      </c>
      <c r="B24" t="s">
        <v>1125</v>
      </c>
      <c r="C24" t="s">
        <v>1126</v>
      </c>
      <c r="D24" t="s">
        <v>1014</v>
      </c>
      <c r="E24" t="s">
        <v>1027</v>
      </c>
      <c r="F24" t="s">
        <v>1055</v>
      </c>
      <c r="G24" t="s">
        <v>1103</v>
      </c>
      <c r="H24" s="13">
        <v>11652176</v>
      </c>
      <c r="I24" s="14">
        <v>565198507.59000003</v>
      </c>
      <c r="J24" t="s">
        <v>1052</v>
      </c>
      <c r="K24" s="10">
        <v>50.883850000000002</v>
      </c>
      <c r="O24" s="10">
        <v>32.337718333333342</v>
      </c>
      <c r="P24" s="10">
        <v>34.263155769230778</v>
      </c>
      <c r="Q24" s="10">
        <v>38.283461153846133</v>
      </c>
      <c r="R24" s="10">
        <v>38.351986730769241</v>
      </c>
      <c r="S24" s="10">
        <v>39.097957358490589</v>
      </c>
      <c r="T24" s="10">
        <v>40.461645769230799</v>
      </c>
      <c r="U24" s="10">
        <v>41.83171076923081</v>
      </c>
      <c r="V24" s="10">
        <v>43.994069999999986</v>
      </c>
      <c r="W24" s="10">
        <v>46.215072499999991</v>
      </c>
      <c r="X24" s="10">
        <v>48.491936415094337</v>
      </c>
      <c r="Y24" s="10">
        <v>50.857697560975602</v>
      </c>
      <c r="Z24" s="11">
        <f t="shared" si="0"/>
        <v>0.26439177000000003</v>
      </c>
    </row>
    <row r="25" spans="1:26" x14ac:dyDescent="0.3">
      <c r="A25" t="s">
        <v>24</v>
      </c>
      <c r="B25" t="s">
        <v>1127</v>
      </c>
      <c r="C25" t="s">
        <v>1128</v>
      </c>
      <c r="D25" t="s">
        <v>1014</v>
      </c>
      <c r="E25" t="s">
        <v>1025</v>
      </c>
      <c r="F25" t="s">
        <v>1059</v>
      </c>
      <c r="G25" t="s">
        <v>1060</v>
      </c>
      <c r="H25" s="13">
        <v>608048.00600000005</v>
      </c>
      <c r="I25" s="14">
        <v>564823372.63</v>
      </c>
      <c r="J25" t="s">
        <v>1061</v>
      </c>
      <c r="K25" s="10">
        <v>1010.59551</v>
      </c>
      <c r="R25" s="10">
        <v>729.52375000000018</v>
      </c>
      <c r="S25" s="10">
        <v>749.13778037735824</v>
      </c>
      <c r="T25" s="10">
        <v>771.23764192307692</v>
      </c>
      <c r="U25" s="10">
        <v>813.50331326923072</v>
      </c>
      <c r="V25" s="10">
        <v>866.44890307692287</v>
      </c>
      <c r="W25" s="10">
        <v>916.69434519230708</v>
      </c>
      <c r="X25" s="10">
        <v>961.45017660377391</v>
      </c>
      <c r="Y25" s="10">
        <v>1010.407534390244</v>
      </c>
      <c r="Z25" s="11">
        <f t="shared" si="0"/>
        <v>0.31791483999999998</v>
      </c>
    </row>
    <row r="26" spans="1:26" x14ac:dyDescent="0.3">
      <c r="A26" t="s">
        <v>25</v>
      </c>
      <c r="B26" t="s">
        <v>1129</v>
      </c>
      <c r="C26" t="s">
        <v>1130</v>
      </c>
      <c r="D26" t="s">
        <v>1014</v>
      </c>
      <c r="E26" t="s">
        <v>1027</v>
      </c>
      <c r="F26" t="s">
        <v>1131</v>
      </c>
      <c r="G26" t="s">
        <v>1132</v>
      </c>
      <c r="H26" s="13">
        <v>204133.12700000001</v>
      </c>
      <c r="I26" s="14">
        <v>561813944.16999996</v>
      </c>
      <c r="J26" t="s">
        <v>1052</v>
      </c>
      <c r="K26" s="10">
        <v>2853.2457399999998</v>
      </c>
      <c r="N26" s="10">
        <v>1599.64994</v>
      </c>
      <c r="O26" s="10">
        <v>1704.5151017307701</v>
      </c>
      <c r="P26" s="10">
        <v>1848.285755384617</v>
      </c>
      <c r="Q26" s="10">
        <v>2032.004962884615</v>
      </c>
      <c r="R26" s="10">
        <v>2152.254979038461</v>
      </c>
      <c r="S26" s="10">
        <v>2178.755079999999</v>
      </c>
      <c r="T26" s="10">
        <v>2284.418576730769</v>
      </c>
      <c r="U26" s="10">
        <v>2432.195006346155</v>
      </c>
      <c r="V26" s="10">
        <v>2593.8959703846149</v>
      </c>
      <c r="W26" s="10">
        <v>2692.612093269232</v>
      </c>
      <c r="X26" s="10">
        <v>2777.327028301886</v>
      </c>
      <c r="Y26" s="10">
        <v>2854.8733209756101</v>
      </c>
      <c r="Z26" s="11">
        <f t="shared" si="0"/>
        <v>0.29042657999999999</v>
      </c>
    </row>
    <row r="27" spans="1:26" x14ac:dyDescent="0.3">
      <c r="A27" t="s">
        <v>26</v>
      </c>
      <c r="B27" t="s">
        <v>1133</v>
      </c>
      <c r="C27" t="s">
        <v>1134</v>
      </c>
      <c r="D27" t="s">
        <v>1014</v>
      </c>
      <c r="E27" t="s">
        <v>1019</v>
      </c>
      <c r="F27" t="s">
        <v>1123</v>
      </c>
      <c r="G27" t="s">
        <v>1124</v>
      </c>
      <c r="H27" s="13">
        <v>1077285.5</v>
      </c>
      <c r="I27" s="14">
        <v>518072942.77999997</v>
      </c>
      <c r="J27" t="s">
        <v>1061</v>
      </c>
      <c r="K27" s="10">
        <v>487.57263999999998</v>
      </c>
      <c r="N27" s="10">
        <v>249.13623695652191</v>
      </c>
      <c r="O27" s="10">
        <v>285.08228576923079</v>
      </c>
      <c r="P27" s="10">
        <v>317.70878192307669</v>
      </c>
      <c r="Q27" s="10">
        <v>346.3430715384614</v>
      </c>
      <c r="R27" s="10">
        <v>362.86740384615382</v>
      </c>
      <c r="S27" s="10">
        <v>380.47136169811341</v>
      </c>
      <c r="T27" s="10">
        <v>404.74599365384609</v>
      </c>
      <c r="U27" s="10">
        <v>425.27643442307681</v>
      </c>
      <c r="V27" s="10">
        <v>447.19942519230779</v>
      </c>
      <c r="W27" s="10">
        <v>471.23465596153858</v>
      </c>
      <c r="X27" s="10">
        <v>477.3320628301887</v>
      </c>
      <c r="Y27" s="10">
        <v>487.45261512195128</v>
      </c>
      <c r="Z27" s="11">
        <f t="shared" si="0"/>
        <v>0.31544485999999999</v>
      </c>
    </row>
    <row r="28" spans="1:26" x14ac:dyDescent="0.3">
      <c r="A28" t="s">
        <v>27</v>
      </c>
      <c r="B28" t="s">
        <v>1135</v>
      </c>
      <c r="C28" t="s">
        <v>1136</v>
      </c>
      <c r="D28" t="s">
        <v>1014</v>
      </c>
      <c r="E28" t="s">
        <v>1025</v>
      </c>
      <c r="F28" t="s">
        <v>1055</v>
      </c>
      <c r="G28" t="s">
        <v>1137</v>
      </c>
      <c r="H28" s="13">
        <v>2279017</v>
      </c>
      <c r="I28" s="14">
        <v>493568069.61000001</v>
      </c>
      <c r="J28" t="s">
        <v>1052</v>
      </c>
      <c r="K28" s="10">
        <v>229.30896999999999</v>
      </c>
      <c r="T28" s="10">
        <v>171.04694346153849</v>
      </c>
      <c r="U28" s="10">
        <v>182.86434923076931</v>
      </c>
      <c r="V28" s="10">
        <v>197.99922749999999</v>
      </c>
      <c r="W28" s="10">
        <v>207.88466423076929</v>
      </c>
      <c r="X28" s="10">
        <v>218.1915871698113</v>
      </c>
      <c r="Y28" s="10">
        <v>228.8568600000001</v>
      </c>
      <c r="Z28" s="11" t="str">
        <f t="shared" si="0"/>
        <v/>
      </c>
    </row>
    <row r="29" spans="1:26" x14ac:dyDescent="0.3">
      <c r="A29" t="s">
        <v>28</v>
      </c>
      <c r="B29" t="s">
        <v>1138</v>
      </c>
      <c r="C29" t="s">
        <v>1139</v>
      </c>
      <c r="D29" t="s">
        <v>1014</v>
      </c>
      <c r="E29" t="s">
        <v>1025</v>
      </c>
      <c r="F29" t="s">
        <v>1123</v>
      </c>
      <c r="G29" t="s">
        <v>1140</v>
      </c>
      <c r="H29" s="13">
        <v>71712</v>
      </c>
      <c r="I29" s="14">
        <v>489046306.62</v>
      </c>
      <c r="J29" t="s">
        <v>1061</v>
      </c>
      <c r="K29" s="10">
        <v>7370.7151400000002</v>
      </c>
      <c r="W29" s="10">
        <v>6653.0972290624977</v>
      </c>
      <c r="X29" s="10">
        <v>7002.239020188681</v>
      </c>
      <c r="Y29" s="10">
        <v>7351.2535197560956</v>
      </c>
      <c r="Z29" s="11" t="str">
        <f t="shared" si="0"/>
        <v/>
      </c>
    </row>
    <row r="30" spans="1:26" x14ac:dyDescent="0.3">
      <c r="A30" t="s">
        <v>29</v>
      </c>
      <c r="B30" t="s">
        <v>1141</v>
      </c>
      <c r="C30" t="s">
        <v>1142</v>
      </c>
      <c r="D30" t="s">
        <v>1014</v>
      </c>
      <c r="E30" t="s">
        <v>1019</v>
      </c>
      <c r="F30" t="s">
        <v>1064</v>
      </c>
      <c r="G30" t="s">
        <v>1100</v>
      </c>
      <c r="H30" s="13">
        <v>753561.55</v>
      </c>
      <c r="I30" s="14">
        <v>487750749.99000001</v>
      </c>
      <c r="J30" t="s">
        <v>1061</v>
      </c>
      <c r="K30" s="10">
        <v>653.27364999999998</v>
      </c>
      <c r="U30" s="10">
        <v>647.18472000000008</v>
      </c>
      <c r="V30" s="10">
        <v>647.38137533333315</v>
      </c>
      <c r="W30" s="10">
        <v>650.32190000000026</v>
      </c>
      <c r="X30" s="10">
        <v>651.82517735849058</v>
      </c>
      <c r="Y30" s="10">
        <v>653.38011804878022</v>
      </c>
      <c r="Z30" s="11" t="str">
        <f t="shared" si="0"/>
        <v/>
      </c>
    </row>
    <row r="31" spans="1:26" x14ac:dyDescent="0.3">
      <c r="A31" t="s">
        <v>30</v>
      </c>
      <c r="B31" t="s">
        <v>1143</v>
      </c>
      <c r="C31" t="s">
        <v>1144</v>
      </c>
      <c r="D31" t="s">
        <v>1014</v>
      </c>
      <c r="E31" t="s">
        <v>1019</v>
      </c>
      <c r="F31" t="s">
        <v>1064</v>
      </c>
      <c r="G31" t="s">
        <v>1100</v>
      </c>
      <c r="H31" s="13">
        <v>741303.8</v>
      </c>
      <c r="I31" s="14">
        <v>480468359.26999998</v>
      </c>
      <c r="J31" t="s">
        <v>1061</v>
      </c>
      <c r="K31" s="10">
        <v>653.29422</v>
      </c>
      <c r="U31" s="10">
        <v>652.34572692307745</v>
      </c>
      <c r="V31" s="10">
        <v>649.46610730769237</v>
      </c>
      <c r="W31" s="10">
        <v>649.95361576923085</v>
      </c>
      <c r="X31" s="10">
        <v>651.92933490566054</v>
      </c>
      <c r="Y31" s="10">
        <v>653.33806658536594</v>
      </c>
      <c r="Z31" s="11" t="str">
        <f t="shared" si="0"/>
        <v/>
      </c>
    </row>
    <row r="32" spans="1:26" x14ac:dyDescent="0.3">
      <c r="A32" t="s">
        <v>31</v>
      </c>
      <c r="B32" t="s">
        <v>1145</v>
      </c>
      <c r="C32" t="s">
        <v>1146</v>
      </c>
      <c r="D32" t="s">
        <v>1014</v>
      </c>
      <c r="E32" t="s">
        <v>1019</v>
      </c>
      <c r="F32" t="s">
        <v>1064</v>
      </c>
      <c r="G32" t="s">
        <v>1100</v>
      </c>
      <c r="H32" s="13">
        <v>736963</v>
      </c>
      <c r="I32" s="14">
        <v>476969686.81999999</v>
      </c>
      <c r="J32" t="s">
        <v>1061</v>
      </c>
      <c r="K32" s="10">
        <v>653.04458</v>
      </c>
      <c r="U32" s="10">
        <v>648.39222000000041</v>
      </c>
      <c r="V32" s="10">
        <v>647.05273022222218</v>
      </c>
      <c r="W32" s="10">
        <v>649.60856615384591</v>
      </c>
      <c r="X32" s="10">
        <v>651.65778811320752</v>
      </c>
      <c r="Y32" s="10">
        <v>653.34303048780498</v>
      </c>
      <c r="Z32" s="11" t="str">
        <f t="shared" si="0"/>
        <v/>
      </c>
    </row>
    <row r="33" spans="1:26" x14ac:dyDescent="0.3">
      <c r="A33" t="s">
        <v>32</v>
      </c>
      <c r="B33" t="s">
        <v>1147</v>
      </c>
      <c r="C33" t="s">
        <v>1148</v>
      </c>
      <c r="D33" t="s">
        <v>1014</v>
      </c>
      <c r="E33" t="s">
        <v>1019</v>
      </c>
      <c r="F33" t="s">
        <v>1123</v>
      </c>
      <c r="G33" t="s">
        <v>1149</v>
      </c>
      <c r="H33" s="13">
        <v>904462</v>
      </c>
      <c r="I33" s="14">
        <v>473416664.06999999</v>
      </c>
      <c r="J33" t="s">
        <v>1061</v>
      </c>
      <c r="K33" s="10">
        <v>526.08276000000001</v>
      </c>
      <c r="W33" s="10">
        <v>510.52120288888892</v>
      </c>
      <c r="X33" s="10">
        <v>524.96031622641499</v>
      </c>
      <c r="Y33" s="10">
        <v>526.48087463414629</v>
      </c>
      <c r="Z33" s="11" t="str">
        <f t="shared" si="0"/>
        <v/>
      </c>
    </row>
    <row r="34" spans="1:26" x14ac:dyDescent="0.3">
      <c r="A34" t="s">
        <v>33</v>
      </c>
      <c r="B34" t="s">
        <v>1150</v>
      </c>
      <c r="C34" t="s">
        <v>1151</v>
      </c>
      <c r="D34" t="s">
        <v>1014</v>
      </c>
      <c r="E34" t="s">
        <v>1019</v>
      </c>
      <c r="F34" t="s">
        <v>1123</v>
      </c>
      <c r="G34" t="s">
        <v>1124</v>
      </c>
      <c r="H34" s="13">
        <v>949094</v>
      </c>
      <c r="I34" s="14">
        <v>455312679.94</v>
      </c>
      <c r="J34" t="s">
        <v>1061</v>
      </c>
      <c r="K34" s="10">
        <v>487.50220000000002</v>
      </c>
      <c r="T34" s="10">
        <v>405.43489057692318</v>
      </c>
      <c r="U34" s="10">
        <v>425.63159903846179</v>
      </c>
      <c r="V34" s="10">
        <v>447.23235346153859</v>
      </c>
      <c r="W34" s="10">
        <v>471.19797057692301</v>
      </c>
      <c r="X34" s="10">
        <v>477.50145886792473</v>
      </c>
      <c r="Y34" s="10">
        <v>487.34699512195112</v>
      </c>
      <c r="Z34" s="11" t="str">
        <f t="shared" si="0"/>
        <v/>
      </c>
    </row>
    <row r="35" spans="1:26" x14ac:dyDescent="0.3">
      <c r="A35" t="s">
        <v>34</v>
      </c>
      <c r="B35" t="s">
        <v>1152</v>
      </c>
      <c r="C35" t="s">
        <v>1153</v>
      </c>
      <c r="D35" t="s">
        <v>1014</v>
      </c>
      <c r="E35" t="s">
        <v>1023</v>
      </c>
      <c r="F35" t="s">
        <v>1050</v>
      </c>
      <c r="G35" t="s">
        <v>1154</v>
      </c>
      <c r="H35" s="13">
        <v>6364898</v>
      </c>
      <c r="I35" s="14">
        <v>451710433.63</v>
      </c>
      <c r="J35" t="s">
        <v>1052</v>
      </c>
      <c r="K35" s="10">
        <v>74.941469999999995</v>
      </c>
      <c r="O35" s="10">
        <v>46.920315000000002</v>
      </c>
      <c r="P35" s="10">
        <v>49.914166538461579</v>
      </c>
      <c r="Q35" s="10">
        <v>53.976484038461528</v>
      </c>
      <c r="R35" s="10">
        <v>56.294643269230761</v>
      </c>
      <c r="S35" s="10">
        <v>59.57957433962266</v>
      </c>
      <c r="T35" s="10">
        <v>62.495331153846188</v>
      </c>
      <c r="U35" s="10">
        <v>66.058603846153915</v>
      </c>
      <c r="V35" s="10">
        <v>69.952452307692383</v>
      </c>
      <c r="W35" s="10">
        <v>71.302607307692341</v>
      </c>
      <c r="X35" s="10">
        <v>71.306022641509415</v>
      </c>
      <c r="Y35" s="10">
        <v>72.717640731707348</v>
      </c>
      <c r="Z35" s="11">
        <f t="shared" si="0"/>
        <v>0.26665733000000003</v>
      </c>
    </row>
    <row r="36" spans="1:26" x14ac:dyDescent="0.3">
      <c r="A36" t="s">
        <v>35</v>
      </c>
      <c r="B36" t="s">
        <v>1155</v>
      </c>
      <c r="C36" t="s">
        <v>1156</v>
      </c>
      <c r="D36" t="s">
        <v>1014</v>
      </c>
      <c r="E36" t="s">
        <v>1025</v>
      </c>
      <c r="F36" t="s">
        <v>1096</v>
      </c>
      <c r="G36" t="s">
        <v>1097</v>
      </c>
      <c r="H36" s="13">
        <v>123893.007</v>
      </c>
      <c r="I36" s="14">
        <v>451374582.22000003</v>
      </c>
      <c r="J36" t="s">
        <v>1061</v>
      </c>
      <c r="K36" s="10">
        <v>3946.3486400000002</v>
      </c>
      <c r="P36" s="10">
        <v>2106.4112399999999</v>
      </c>
      <c r="Q36" s="10">
        <v>2256.067613653845</v>
      </c>
      <c r="R36" s="10">
        <v>2496.3021321153828</v>
      </c>
      <c r="S36" s="10">
        <v>2678.3688364150939</v>
      </c>
      <c r="T36" s="10">
        <v>2853.4964467307682</v>
      </c>
      <c r="U36" s="10">
        <v>3085.017993461538</v>
      </c>
      <c r="V36" s="10">
        <v>3348.852472692306</v>
      </c>
      <c r="W36" s="10">
        <v>3577.9320871153841</v>
      </c>
      <c r="X36" s="10">
        <v>3687.3111390566041</v>
      </c>
      <c r="Y36" s="10">
        <v>3945.605406097563</v>
      </c>
      <c r="Z36" s="11">
        <f t="shared" si="0"/>
        <v>0.47710932</v>
      </c>
    </row>
    <row r="37" spans="1:26" x14ac:dyDescent="0.3">
      <c r="A37" t="s">
        <v>36</v>
      </c>
      <c r="B37" t="s">
        <v>1157</v>
      </c>
      <c r="C37" t="s">
        <v>1158</v>
      </c>
      <c r="D37" t="s">
        <v>1014</v>
      </c>
      <c r="E37" t="s">
        <v>1027</v>
      </c>
      <c r="F37" t="s">
        <v>1096</v>
      </c>
      <c r="G37" t="s">
        <v>1159</v>
      </c>
      <c r="H37" s="13">
        <v>19860.2</v>
      </c>
      <c r="I37" s="14">
        <v>447556980.97000003</v>
      </c>
      <c r="J37" t="s">
        <v>1061</v>
      </c>
      <c r="K37" s="10">
        <v>24369.369439999999</v>
      </c>
      <c r="W37" s="10">
        <v>21104.160005945949</v>
      </c>
      <c r="X37" s="10">
        <v>22529.074917169819</v>
      </c>
      <c r="Y37" s="10">
        <v>24379.439795365852</v>
      </c>
      <c r="Z37" s="11" t="str">
        <f t="shared" si="0"/>
        <v/>
      </c>
    </row>
    <row r="38" spans="1:26" x14ac:dyDescent="0.3">
      <c r="A38" t="s">
        <v>37</v>
      </c>
      <c r="B38" t="s">
        <v>1160</v>
      </c>
      <c r="C38" t="s">
        <v>1161</v>
      </c>
      <c r="D38" t="s">
        <v>1014</v>
      </c>
      <c r="E38" t="s">
        <v>1032</v>
      </c>
      <c r="F38" t="s">
        <v>1106</v>
      </c>
      <c r="G38" t="s">
        <v>1162</v>
      </c>
      <c r="H38" s="13">
        <v>19561235.800000001</v>
      </c>
      <c r="I38" s="14">
        <v>444489864.76999998</v>
      </c>
      <c r="J38" t="s">
        <v>1163</v>
      </c>
      <c r="K38" s="10">
        <v>21.98404</v>
      </c>
      <c r="M38" s="10">
        <v>24.426826792452822</v>
      </c>
      <c r="N38" s="10">
        <v>26.312804423076901</v>
      </c>
      <c r="O38" s="10">
        <v>27.616730576923089</v>
      </c>
      <c r="P38" s="10">
        <v>29.086009807692299</v>
      </c>
      <c r="Q38" s="10">
        <v>30.82390134615386</v>
      </c>
      <c r="R38" s="10">
        <v>32.633350384615412</v>
      </c>
      <c r="S38" s="10">
        <v>33.875662264150947</v>
      </c>
      <c r="T38" s="10">
        <v>34.947453653846118</v>
      </c>
      <c r="U38" s="10">
        <v>35.677628653846163</v>
      </c>
      <c r="V38" s="10">
        <v>36.72929288461534</v>
      </c>
      <c r="W38" s="10">
        <v>22.324602307692299</v>
      </c>
      <c r="X38" s="10">
        <v>22.039351132075481</v>
      </c>
      <c r="Y38" s="10">
        <v>22.019623170731709</v>
      </c>
      <c r="Z38" s="11">
        <f t="shared" si="0"/>
        <v>-0.32463719000000002</v>
      </c>
    </row>
    <row r="39" spans="1:26" x14ac:dyDescent="0.3">
      <c r="A39" t="s">
        <v>38</v>
      </c>
      <c r="B39" t="s">
        <v>1164</v>
      </c>
      <c r="C39" t="s">
        <v>1165</v>
      </c>
      <c r="D39" t="s">
        <v>1014</v>
      </c>
      <c r="E39" t="s">
        <v>1025</v>
      </c>
      <c r="F39" t="s">
        <v>1055</v>
      </c>
      <c r="G39" t="s">
        <v>1087</v>
      </c>
      <c r="H39" s="13">
        <v>49135.841999999997</v>
      </c>
      <c r="I39" s="14">
        <v>439879513.25999999</v>
      </c>
      <c r="J39" t="s">
        <v>1061</v>
      </c>
      <c r="K39" s="10">
        <v>9572.6650000000009</v>
      </c>
      <c r="X39" s="10">
        <v>9059.7151739622605</v>
      </c>
      <c r="Y39" s="10">
        <v>9626.8966153658566</v>
      </c>
      <c r="Z39" s="11" t="str">
        <f t="shared" si="0"/>
        <v/>
      </c>
    </row>
    <row r="40" spans="1:26" x14ac:dyDescent="0.3">
      <c r="A40" t="s">
        <v>39</v>
      </c>
      <c r="B40" t="s">
        <v>1166</v>
      </c>
      <c r="C40" t="s">
        <v>1167</v>
      </c>
      <c r="D40" t="s">
        <v>1014</v>
      </c>
      <c r="E40" t="s">
        <v>1027</v>
      </c>
      <c r="F40" t="s">
        <v>1068</v>
      </c>
      <c r="G40" t="s">
        <v>1069</v>
      </c>
      <c r="H40" s="13">
        <v>193141.01500000001</v>
      </c>
      <c r="I40" s="14">
        <v>435886003.81999999</v>
      </c>
      <c r="J40" t="s">
        <v>1061</v>
      </c>
      <c r="K40" s="10">
        <v>2337.7083299999999</v>
      </c>
      <c r="M40" s="10">
        <v>1196.6462030188691</v>
      </c>
      <c r="N40" s="10">
        <v>1280.6601442307681</v>
      </c>
      <c r="O40" s="10">
        <v>1390.2217938461531</v>
      </c>
      <c r="P40" s="10">
        <v>1498.726618076922</v>
      </c>
      <c r="Q40" s="10">
        <v>1605.974702499999</v>
      </c>
      <c r="R40" s="10">
        <v>1713.6827165384609</v>
      </c>
      <c r="S40" s="10">
        <v>1791.321067547171</v>
      </c>
      <c r="T40" s="10">
        <v>1879.878255384614</v>
      </c>
      <c r="U40" s="10">
        <v>1996.1610444230751</v>
      </c>
      <c r="V40" s="10">
        <v>2143.2836953846158</v>
      </c>
      <c r="W40" s="10">
        <v>2226.2275763461539</v>
      </c>
      <c r="X40" s="10">
        <v>2282.179593207547</v>
      </c>
      <c r="Y40" s="10">
        <v>2337.8097243902439</v>
      </c>
      <c r="Z40" s="11">
        <f t="shared" si="0"/>
        <v>0.33173986999999999</v>
      </c>
    </row>
    <row r="41" spans="1:26" x14ac:dyDescent="0.3">
      <c r="A41" t="s">
        <v>40</v>
      </c>
      <c r="B41" t="s">
        <v>1168</v>
      </c>
      <c r="C41" t="s">
        <v>1169</v>
      </c>
      <c r="D41" t="s">
        <v>1014</v>
      </c>
      <c r="E41" t="s">
        <v>1019</v>
      </c>
      <c r="F41" t="s">
        <v>1064</v>
      </c>
      <c r="G41" t="s">
        <v>1100</v>
      </c>
      <c r="H41" s="13">
        <v>1010128.7</v>
      </c>
      <c r="I41" s="14">
        <v>435791252.44</v>
      </c>
      <c r="J41" t="s">
        <v>1061</v>
      </c>
      <c r="K41" s="10">
        <v>435.55768999999998</v>
      </c>
      <c r="U41" s="10">
        <v>432.58515307692301</v>
      </c>
      <c r="V41" s="10">
        <v>431.88613653846153</v>
      </c>
      <c r="W41" s="10">
        <v>432.86758576923091</v>
      </c>
      <c r="X41" s="10">
        <v>434.52039716981119</v>
      </c>
      <c r="Y41" s="10">
        <v>435.53325658536579</v>
      </c>
      <c r="Z41" s="11" t="str">
        <f t="shared" si="0"/>
        <v/>
      </c>
    </row>
    <row r="42" spans="1:26" x14ac:dyDescent="0.3">
      <c r="A42" t="s">
        <v>41</v>
      </c>
      <c r="B42" t="s">
        <v>1170</v>
      </c>
      <c r="C42" t="s">
        <v>1171</v>
      </c>
      <c r="D42" t="s">
        <v>1014</v>
      </c>
      <c r="E42" t="s">
        <v>1019</v>
      </c>
      <c r="F42" t="s">
        <v>1123</v>
      </c>
      <c r="G42" t="s">
        <v>1149</v>
      </c>
      <c r="H42" s="13">
        <v>809088</v>
      </c>
      <c r="I42" s="14">
        <v>423532383.44999999</v>
      </c>
      <c r="J42" t="s">
        <v>1061</v>
      </c>
      <c r="K42" s="10">
        <v>526.20421999999996</v>
      </c>
      <c r="W42" s="10">
        <v>510.25760580000002</v>
      </c>
      <c r="X42" s="10">
        <v>525.02071698113207</v>
      </c>
      <c r="Y42" s="10">
        <v>526.61813243902407</v>
      </c>
      <c r="Z42" s="11" t="str">
        <f t="shared" si="0"/>
        <v/>
      </c>
    </row>
    <row r="43" spans="1:26" x14ac:dyDescent="0.3">
      <c r="A43" t="s">
        <v>42</v>
      </c>
      <c r="B43" t="s">
        <v>1172</v>
      </c>
      <c r="C43" t="s">
        <v>1173</v>
      </c>
      <c r="D43" t="s">
        <v>1014</v>
      </c>
      <c r="E43" t="s">
        <v>1019</v>
      </c>
      <c r="F43" t="s">
        <v>1123</v>
      </c>
      <c r="G43" t="s">
        <v>1124</v>
      </c>
      <c r="H43" s="13">
        <v>843948</v>
      </c>
      <c r="I43" s="14">
        <v>405042604.66000003</v>
      </c>
      <c r="J43" t="s">
        <v>1061</v>
      </c>
      <c r="K43" s="10">
        <v>487.41807999999997</v>
      </c>
      <c r="T43" s="10">
        <v>405.65083956521738</v>
      </c>
      <c r="U43" s="10">
        <v>425.70499173076939</v>
      </c>
      <c r="V43" s="10">
        <v>447.35341057692341</v>
      </c>
      <c r="W43" s="10">
        <v>471.12614634615409</v>
      </c>
      <c r="X43" s="10">
        <v>477.32870792452849</v>
      </c>
      <c r="Y43" s="10">
        <v>487.29065219512182</v>
      </c>
      <c r="Z43" s="11" t="str">
        <f t="shared" si="0"/>
        <v/>
      </c>
    </row>
    <row r="44" spans="1:26" x14ac:dyDescent="0.3">
      <c r="A44" t="s">
        <v>43</v>
      </c>
      <c r="B44" t="s">
        <v>1174</v>
      </c>
      <c r="C44" t="s">
        <v>1175</v>
      </c>
      <c r="D44" t="s">
        <v>1015</v>
      </c>
      <c r="E44" t="s">
        <v>1026</v>
      </c>
      <c r="F44" t="s">
        <v>1050</v>
      </c>
      <c r="G44" t="s">
        <v>1176</v>
      </c>
      <c r="H44" s="13">
        <v>1367172</v>
      </c>
      <c r="I44" s="14">
        <v>373451293.49000001</v>
      </c>
      <c r="J44" t="s">
        <v>1052</v>
      </c>
      <c r="K44" s="10">
        <v>278.02578999999997</v>
      </c>
      <c r="T44" s="10">
        <v>282.85714999999988</v>
      </c>
      <c r="U44" s="10">
        <v>278.71428999999989</v>
      </c>
      <c r="V44" s="10">
        <v>278.45000326923088</v>
      </c>
      <c r="W44" s="10">
        <v>277.6167055769231</v>
      </c>
      <c r="X44" s="10">
        <v>277.70069867924531</v>
      </c>
      <c r="Y44" s="10">
        <v>278.1759087804877</v>
      </c>
      <c r="Z44" s="11" t="str">
        <f t="shared" si="0"/>
        <v/>
      </c>
    </row>
    <row r="45" spans="1:26" x14ac:dyDescent="0.3">
      <c r="A45" t="s">
        <v>44</v>
      </c>
      <c r="B45" t="s">
        <v>1177</v>
      </c>
      <c r="C45" t="s">
        <v>1178</v>
      </c>
      <c r="D45" t="s">
        <v>1014</v>
      </c>
      <c r="E45" t="s">
        <v>1025</v>
      </c>
      <c r="F45" t="s">
        <v>1059</v>
      </c>
      <c r="G45" t="s">
        <v>1060</v>
      </c>
      <c r="H45" s="13">
        <v>220717.36</v>
      </c>
      <c r="I45" s="14">
        <v>366317350.06999999</v>
      </c>
      <c r="J45" t="s">
        <v>1061</v>
      </c>
      <c r="K45" s="10">
        <v>1778.85887</v>
      </c>
      <c r="W45" s="10">
        <v>1606.9868896875</v>
      </c>
      <c r="X45" s="10">
        <v>1689.5160343396219</v>
      </c>
      <c r="Y45" s="10">
        <v>1775.9979797560979</v>
      </c>
      <c r="Z45" s="11" t="str">
        <f t="shared" si="0"/>
        <v/>
      </c>
    </row>
    <row r="46" spans="1:26" x14ac:dyDescent="0.3">
      <c r="A46" t="s">
        <v>45</v>
      </c>
      <c r="B46" t="s">
        <v>1179</v>
      </c>
      <c r="C46" t="s">
        <v>1180</v>
      </c>
      <c r="D46" t="s">
        <v>1014</v>
      </c>
      <c r="E46" t="s">
        <v>1030</v>
      </c>
      <c r="F46" t="s">
        <v>1181</v>
      </c>
      <c r="G46" t="s">
        <v>1182</v>
      </c>
      <c r="H46" s="13">
        <v>234355.83900000001</v>
      </c>
      <c r="I46" s="14">
        <v>366307889.43000001</v>
      </c>
      <c r="J46" t="s">
        <v>1052</v>
      </c>
      <c r="K46" s="10">
        <v>1716.1138900000001</v>
      </c>
      <c r="M46" s="10">
        <v>1114.6921952830189</v>
      </c>
      <c r="N46" s="10">
        <v>1237.032065961537</v>
      </c>
      <c r="O46" s="10">
        <v>1265.464744038462</v>
      </c>
      <c r="P46" s="10">
        <v>1257.495458461538</v>
      </c>
      <c r="Q46" s="10">
        <v>1263.401812307693</v>
      </c>
      <c r="R46" s="10">
        <v>1264.680508461538</v>
      </c>
      <c r="S46" s="10">
        <v>1306.3700811320759</v>
      </c>
      <c r="T46" s="10">
        <v>1359.766005769231</v>
      </c>
      <c r="U46" s="10">
        <v>1423.461384230769</v>
      </c>
      <c r="V46" s="10">
        <v>1531.9872623076931</v>
      </c>
      <c r="W46" s="10">
        <v>1579.47757423077</v>
      </c>
      <c r="X46" s="10">
        <v>1622.783909056604</v>
      </c>
      <c r="Y46" s="10">
        <v>1715.538229999999</v>
      </c>
      <c r="Z46" s="11">
        <f t="shared" si="0"/>
        <v>0.28315720999999999</v>
      </c>
    </row>
    <row r="47" spans="1:26" x14ac:dyDescent="0.3">
      <c r="A47" t="s">
        <v>46</v>
      </c>
      <c r="B47" t="s">
        <v>1183</v>
      </c>
      <c r="C47" t="s">
        <v>1184</v>
      </c>
      <c r="D47" t="s">
        <v>1014</v>
      </c>
      <c r="E47" t="s">
        <v>1025</v>
      </c>
      <c r="F47" t="s">
        <v>1092</v>
      </c>
      <c r="G47" t="s">
        <v>1185</v>
      </c>
      <c r="H47" s="13">
        <v>4092060</v>
      </c>
      <c r="I47" s="14">
        <v>348477326.14999998</v>
      </c>
      <c r="J47" t="s">
        <v>1052</v>
      </c>
      <c r="K47" s="10">
        <v>90.571709999999996</v>
      </c>
      <c r="S47" s="10">
        <v>58.141171428571433</v>
      </c>
      <c r="T47" s="10">
        <v>62.60261634615388</v>
      </c>
      <c r="U47" s="10">
        <v>69.038858846153829</v>
      </c>
      <c r="V47" s="10">
        <v>74.322984615384684</v>
      </c>
      <c r="W47" s="10">
        <v>79.151196923076952</v>
      </c>
      <c r="X47" s="10">
        <v>86.125137547169786</v>
      </c>
      <c r="Y47" s="10">
        <v>90.508380487804928</v>
      </c>
      <c r="Z47" s="11" t="str">
        <f t="shared" si="0"/>
        <v/>
      </c>
    </row>
    <row r="48" spans="1:26" x14ac:dyDescent="0.3">
      <c r="A48" t="s">
        <v>47</v>
      </c>
      <c r="B48" t="s">
        <v>1186</v>
      </c>
      <c r="C48" t="s">
        <v>1187</v>
      </c>
      <c r="D48" t="s">
        <v>1014</v>
      </c>
      <c r="E48" t="s">
        <v>1019</v>
      </c>
      <c r="F48" t="s">
        <v>1123</v>
      </c>
      <c r="G48" t="s">
        <v>1188</v>
      </c>
      <c r="H48" s="13">
        <v>665899.5</v>
      </c>
      <c r="I48" s="14">
        <v>346999694.81999999</v>
      </c>
      <c r="J48" t="s">
        <v>1061</v>
      </c>
      <c r="K48" s="10">
        <v>538.63383999999996</v>
      </c>
      <c r="U48" s="10">
        <v>466.78472199999999</v>
      </c>
      <c r="V48" s="10">
        <v>491.1765494230774</v>
      </c>
      <c r="W48" s="10">
        <v>515.35616884615399</v>
      </c>
      <c r="X48" s="10">
        <v>522.12334301886756</v>
      </c>
      <c r="Y48" s="10">
        <v>538.29043536585368</v>
      </c>
      <c r="Z48" s="11" t="str">
        <f t="shared" si="0"/>
        <v/>
      </c>
    </row>
    <row r="49" spans="1:26" x14ac:dyDescent="0.3">
      <c r="A49" t="s">
        <v>48</v>
      </c>
      <c r="B49" t="s">
        <v>1189</v>
      </c>
      <c r="C49" t="s">
        <v>1190</v>
      </c>
      <c r="D49" t="s">
        <v>1014</v>
      </c>
      <c r="E49" t="s">
        <v>1019</v>
      </c>
      <c r="F49" t="s">
        <v>1123</v>
      </c>
      <c r="G49" t="s">
        <v>1149</v>
      </c>
      <c r="H49" s="13">
        <v>640265.5</v>
      </c>
      <c r="I49" s="14">
        <v>334870407.75999999</v>
      </c>
      <c r="J49" t="s">
        <v>1061</v>
      </c>
      <c r="K49" s="10">
        <v>526.00414999999998</v>
      </c>
      <c r="W49" s="10">
        <v>510.62496555555538</v>
      </c>
      <c r="X49" s="10">
        <v>524.92400358490545</v>
      </c>
      <c r="Y49" s="10">
        <v>526.37888609756124</v>
      </c>
      <c r="Z49" s="11" t="str">
        <f t="shared" si="0"/>
        <v/>
      </c>
    </row>
    <row r="50" spans="1:26" x14ac:dyDescent="0.3">
      <c r="A50" t="s">
        <v>49</v>
      </c>
      <c r="B50" t="s">
        <v>1191</v>
      </c>
      <c r="C50" t="s">
        <v>1192</v>
      </c>
      <c r="D50" t="s">
        <v>1014</v>
      </c>
      <c r="E50" t="s">
        <v>1023</v>
      </c>
      <c r="F50" t="s">
        <v>1193</v>
      </c>
      <c r="G50" t="s">
        <v>1194</v>
      </c>
      <c r="H50" s="13">
        <v>3347711</v>
      </c>
      <c r="I50" s="14">
        <v>332761483.36000001</v>
      </c>
      <c r="J50" t="s">
        <v>1052</v>
      </c>
      <c r="K50" s="10">
        <v>105.22465</v>
      </c>
      <c r="S50" s="10">
        <v>77.602255094339625</v>
      </c>
      <c r="T50" s="10">
        <v>81.26333480769236</v>
      </c>
      <c r="U50" s="10">
        <v>85.293280769230719</v>
      </c>
      <c r="V50" s="10">
        <v>90.5903146153846</v>
      </c>
      <c r="W50" s="10">
        <v>96.131899615384569</v>
      </c>
      <c r="X50" s="10">
        <v>99.974800566037786</v>
      </c>
      <c r="Y50" s="10">
        <v>105.2215668292683</v>
      </c>
      <c r="Z50" s="11" t="str">
        <f t="shared" si="0"/>
        <v/>
      </c>
    </row>
    <row r="51" spans="1:26" x14ac:dyDescent="0.3">
      <c r="A51" t="s">
        <v>50</v>
      </c>
      <c r="B51" t="s">
        <v>1195</v>
      </c>
      <c r="C51" t="s">
        <v>1196</v>
      </c>
      <c r="D51" t="s">
        <v>1014</v>
      </c>
      <c r="E51" t="s">
        <v>1027</v>
      </c>
      <c r="F51" t="s">
        <v>1068</v>
      </c>
      <c r="G51" t="s">
        <v>1197</v>
      </c>
      <c r="H51" s="13">
        <v>86383.392999999996</v>
      </c>
      <c r="I51" s="14">
        <v>331742065.57999998</v>
      </c>
      <c r="J51" t="s">
        <v>1061</v>
      </c>
      <c r="K51" s="10">
        <v>3997.97064</v>
      </c>
      <c r="O51" s="10">
        <v>2374.2121063999998</v>
      </c>
      <c r="P51" s="10">
        <v>2557.9071461538479</v>
      </c>
      <c r="Q51" s="10">
        <v>2747.5641948076932</v>
      </c>
      <c r="R51" s="10">
        <v>2931.7575999999999</v>
      </c>
      <c r="S51" s="10">
        <v>3072.601904150943</v>
      </c>
      <c r="T51" s="10">
        <v>3226.30653884615</v>
      </c>
      <c r="U51" s="10">
        <v>3411.245996153848</v>
      </c>
      <c r="V51" s="10">
        <v>3655.0852730769211</v>
      </c>
      <c r="W51" s="10">
        <v>3799.1112690384589</v>
      </c>
      <c r="X51" s="10">
        <v>3887.056157169814</v>
      </c>
      <c r="Y51" s="10">
        <v>3988.7165600000021</v>
      </c>
      <c r="Z51" s="11">
        <f t="shared" si="0"/>
        <v>0.325845</v>
      </c>
    </row>
    <row r="52" spans="1:26" x14ac:dyDescent="0.3">
      <c r="A52" t="s">
        <v>51</v>
      </c>
      <c r="B52" t="s">
        <v>1198</v>
      </c>
      <c r="C52" t="s">
        <v>1199</v>
      </c>
      <c r="D52" t="s">
        <v>1014</v>
      </c>
      <c r="E52" t="s">
        <v>1025</v>
      </c>
      <c r="F52" t="s">
        <v>1068</v>
      </c>
      <c r="G52" t="s">
        <v>1200</v>
      </c>
      <c r="H52" s="13">
        <v>23296.28</v>
      </c>
      <c r="I52" s="14">
        <v>322258631.27999997</v>
      </c>
      <c r="J52" t="s">
        <v>1061</v>
      </c>
      <c r="K52" s="10">
        <v>14743.718129999999</v>
      </c>
      <c r="V52" s="10">
        <v>12804.42301538462</v>
      </c>
      <c r="W52" s="10">
        <v>13386.50252115386</v>
      </c>
      <c r="X52" s="10">
        <v>13960.044228301889</v>
      </c>
      <c r="Y52" s="10">
        <v>14667.17411341464</v>
      </c>
      <c r="Z52" s="11" t="str">
        <f t="shared" si="0"/>
        <v/>
      </c>
    </row>
    <row r="53" spans="1:26" x14ac:dyDescent="0.3">
      <c r="A53" t="s">
        <v>52</v>
      </c>
      <c r="B53" t="s">
        <v>1201</v>
      </c>
      <c r="C53" t="s">
        <v>1202</v>
      </c>
      <c r="D53" t="s">
        <v>1014</v>
      </c>
      <c r="E53" t="s">
        <v>1023</v>
      </c>
      <c r="F53" t="s">
        <v>1050</v>
      </c>
      <c r="G53" t="s">
        <v>1203</v>
      </c>
      <c r="H53" s="13">
        <v>2287674</v>
      </c>
      <c r="I53" s="14">
        <v>310293652.31</v>
      </c>
      <c r="J53" t="s">
        <v>1052</v>
      </c>
      <c r="K53" s="10">
        <v>143.35319999999999</v>
      </c>
      <c r="O53" s="10">
        <v>83.00455152173916</v>
      </c>
      <c r="P53" s="10">
        <v>87.91058750000002</v>
      </c>
      <c r="Q53" s="10">
        <v>94.960446346153887</v>
      </c>
      <c r="R53" s="10">
        <v>98.917747692307728</v>
      </c>
      <c r="S53" s="10">
        <v>104.7430362264152</v>
      </c>
      <c r="T53" s="10">
        <v>109.88658961538449</v>
      </c>
      <c r="U53" s="10">
        <v>116.1003384615384</v>
      </c>
      <c r="V53" s="10">
        <v>122.94390634615399</v>
      </c>
      <c r="W53" s="10">
        <v>128.76784596153851</v>
      </c>
      <c r="X53" s="10">
        <v>136.2096832075471</v>
      </c>
      <c r="Y53" s="10">
        <v>143.179928292683</v>
      </c>
      <c r="Z53" s="11">
        <f t="shared" si="0"/>
        <v>0.37699944000000002</v>
      </c>
    </row>
    <row r="54" spans="1:26" x14ac:dyDescent="0.3">
      <c r="A54" t="s">
        <v>53</v>
      </c>
      <c r="B54" t="s">
        <v>1204</v>
      </c>
      <c r="C54" t="s">
        <v>1205</v>
      </c>
      <c r="D54" t="s">
        <v>1014</v>
      </c>
      <c r="E54" t="s">
        <v>1032</v>
      </c>
      <c r="F54" t="s">
        <v>1193</v>
      </c>
      <c r="G54" t="s">
        <v>1206</v>
      </c>
      <c r="H54" s="13">
        <v>92763036.759000003</v>
      </c>
      <c r="I54" s="14">
        <v>306270201.66000003</v>
      </c>
      <c r="J54" t="s">
        <v>1163</v>
      </c>
      <c r="K54" s="10">
        <v>3.0348299999999999</v>
      </c>
      <c r="M54" s="10">
        <v>2.2965692452830182</v>
      </c>
      <c r="N54" s="10">
        <v>2.4398253846153848</v>
      </c>
      <c r="O54" s="10">
        <v>2.7243394230769229</v>
      </c>
      <c r="P54" s="10">
        <v>2.789535384615387</v>
      </c>
      <c r="Q54" s="10">
        <v>2.865700769230771</v>
      </c>
      <c r="R54" s="10">
        <v>2.9521788461538461</v>
      </c>
      <c r="S54" s="10">
        <v>2.9527801886792462</v>
      </c>
      <c r="T54" s="10">
        <v>2.9520684615384618</v>
      </c>
      <c r="U54" s="10">
        <v>3.034540769230766</v>
      </c>
      <c r="V54" s="10">
        <v>3.0360673076923068</v>
      </c>
      <c r="W54" s="10">
        <v>3.0382011538461531</v>
      </c>
      <c r="X54" s="10">
        <v>3.037756226415095</v>
      </c>
      <c r="Y54" s="10">
        <v>3.035845121951219</v>
      </c>
      <c r="Z54" s="11">
        <f t="shared" si="0"/>
        <v>2.8987869999999999E-2</v>
      </c>
    </row>
    <row r="55" spans="1:26" x14ac:dyDescent="0.3">
      <c r="A55" t="s">
        <v>54</v>
      </c>
      <c r="B55" t="s">
        <v>1207</v>
      </c>
      <c r="C55" t="s">
        <v>1208</v>
      </c>
      <c r="D55" t="s">
        <v>1014</v>
      </c>
      <c r="E55" t="s">
        <v>1027</v>
      </c>
      <c r="F55" t="s">
        <v>1209</v>
      </c>
      <c r="G55" t="s">
        <v>1210</v>
      </c>
      <c r="H55" s="13">
        <v>5421093</v>
      </c>
      <c r="I55" s="14">
        <v>296731106.79000002</v>
      </c>
      <c r="J55" t="s">
        <v>1052</v>
      </c>
      <c r="K55" s="10">
        <v>57.247140000000002</v>
      </c>
      <c r="U55" s="10">
        <v>47.353802258064519</v>
      </c>
      <c r="V55" s="10">
        <v>50.118079038461502</v>
      </c>
      <c r="W55" s="10">
        <v>53.072576153846143</v>
      </c>
      <c r="X55" s="10">
        <v>54.575786226415097</v>
      </c>
      <c r="Y55" s="10">
        <v>57.225206341463434</v>
      </c>
      <c r="Z55" s="11" t="str">
        <f t="shared" si="0"/>
        <v/>
      </c>
    </row>
    <row r="56" spans="1:26" x14ac:dyDescent="0.3">
      <c r="A56" t="s">
        <v>55</v>
      </c>
      <c r="B56" t="s">
        <v>1211</v>
      </c>
      <c r="C56" t="s">
        <v>1212</v>
      </c>
      <c r="D56" t="s">
        <v>1014</v>
      </c>
      <c r="E56" t="s">
        <v>1020</v>
      </c>
      <c r="F56" t="s">
        <v>1064</v>
      </c>
      <c r="G56" t="s">
        <v>1213</v>
      </c>
      <c r="H56" s="13">
        <v>185035</v>
      </c>
      <c r="I56" s="14">
        <v>295955847.49000001</v>
      </c>
      <c r="J56" t="s">
        <v>1061</v>
      </c>
      <c r="K56" s="10">
        <v>1704.64417</v>
      </c>
      <c r="M56" s="10">
        <v>868.28060279999966</v>
      </c>
      <c r="N56" s="10">
        <v>927.69672692307643</v>
      </c>
      <c r="O56" s="10">
        <v>987.73594500000081</v>
      </c>
      <c r="P56" s="10">
        <v>1067.5414949999999</v>
      </c>
      <c r="Q56" s="10">
        <v>1137.0941900000009</v>
      </c>
      <c r="X56" s="10">
        <v>1633.1593022641509</v>
      </c>
      <c r="Y56" s="10">
        <v>1712.656868292682</v>
      </c>
      <c r="Z56" s="11" t="str">
        <f t="shared" si="0"/>
        <v/>
      </c>
    </row>
    <row r="57" spans="1:26" x14ac:dyDescent="0.3">
      <c r="A57" t="s">
        <v>56</v>
      </c>
      <c r="B57" t="s">
        <v>1214</v>
      </c>
      <c r="C57" t="s">
        <v>1215</v>
      </c>
      <c r="D57" t="s">
        <v>1014</v>
      </c>
      <c r="E57" t="s">
        <v>1019</v>
      </c>
      <c r="F57" t="s">
        <v>1123</v>
      </c>
      <c r="G57" t="s">
        <v>1188</v>
      </c>
      <c r="H57" s="13">
        <v>560173</v>
      </c>
      <c r="I57" s="14">
        <v>292364683.35000002</v>
      </c>
      <c r="J57" t="s">
        <v>1061</v>
      </c>
      <c r="K57" s="10">
        <v>538.68042000000003</v>
      </c>
      <c r="V57" s="10">
        <v>491.23409653846147</v>
      </c>
      <c r="W57" s="10">
        <v>515.38876692307679</v>
      </c>
      <c r="X57" s="10">
        <v>522.17277037735857</v>
      </c>
      <c r="Y57" s="10">
        <v>538.30534292682933</v>
      </c>
      <c r="Z57" s="11" t="str">
        <f t="shared" si="0"/>
        <v/>
      </c>
    </row>
    <row r="58" spans="1:26" x14ac:dyDescent="0.3">
      <c r="A58" t="s">
        <v>57</v>
      </c>
      <c r="B58" t="s">
        <v>1216</v>
      </c>
      <c r="C58" t="s">
        <v>1217</v>
      </c>
      <c r="D58" t="s">
        <v>1014</v>
      </c>
      <c r="E58" t="s">
        <v>1027</v>
      </c>
      <c r="F58" t="s">
        <v>1218</v>
      </c>
      <c r="G58" t="s">
        <v>1219</v>
      </c>
      <c r="H58" s="13">
        <v>1051986</v>
      </c>
      <c r="I58" s="14">
        <v>289674788.16000003</v>
      </c>
      <c r="J58" t="s">
        <v>1052</v>
      </c>
      <c r="K58" s="10">
        <v>283.32400000000001</v>
      </c>
      <c r="V58" s="10">
        <v>259.54740756097573</v>
      </c>
      <c r="W58" s="10">
        <v>266.61816942307689</v>
      </c>
      <c r="X58" s="10">
        <v>276.6966486792453</v>
      </c>
      <c r="Y58" s="10">
        <v>283.32422926829281</v>
      </c>
      <c r="Z58" s="11" t="str">
        <f t="shared" si="0"/>
        <v/>
      </c>
    </row>
    <row r="59" spans="1:26" x14ac:dyDescent="0.3">
      <c r="A59" t="s">
        <v>58</v>
      </c>
      <c r="B59" t="s">
        <v>1220</v>
      </c>
      <c r="C59" t="s">
        <v>1221</v>
      </c>
      <c r="D59" t="s">
        <v>1014</v>
      </c>
      <c r="E59" t="s">
        <v>1032</v>
      </c>
      <c r="F59" t="s">
        <v>1193</v>
      </c>
      <c r="G59" t="s">
        <v>1222</v>
      </c>
      <c r="H59" s="13">
        <v>26204614</v>
      </c>
      <c r="I59" s="14">
        <v>284638819.01999998</v>
      </c>
      <c r="J59" t="s">
        <v>1052</v>
      </c>
      <c r="K59" s="10">
        <v>11.15225</v>
      </c>
      <c r="Q59" s="10">
        <v>8.4888253333333274</v>
      </c>
      <c r="R59" s="10">
        <v>8.7389521153846115</v>
      </c>
      <c r="S59" s="10">
        <v>9.1750649056603724</v>
      </c>
      <c r="T59" s="10">
        <v>9.6248865384615421</v>
      </c>
      <c r="U59" s="10">
        <v>9.909181538461544</v>
      </c>
      <c r="V59" s="10">
        <v>10.22223307692307</v>
      </c>
      <c r="W59" s="10">
        <v>10.52700538461538</v>
      </c>
      <c r="X59" s="10">
        <v>10.833342452830189</v>
      </c>
      <c r="Y59" s="10">
        <v>11.1584287804878</v>
      </c>
      <c r="Z59" s="11">
        <f t="shared" si="0"/>
        <v>0.2396615</v>
      </c>
    </row>
    <row r="60" spans="1:26" x14ac:dyDescent="0.3">
      <c r="A60" t="s">
        <v>59</v>
      </c>
      <c r="B60" t="s">
        <v>1223</v>
      </c>
      <c r="C60" t="s">
        <v>1224</v>
      </c>
      <c r="D60" t="s">
        <v>1014</v>
      </c>
      <c r="E60" t="s">
        <v>1018</v>
      </c>
      <c r="F60" t="s">
        <v>1068</v>
      </c>
      <c r="G60" t="s">
        <v>1225</v>
      </c>
      <c r="H60" s="13">
        <v>14860401.75</v>
      </c>
      <c r="I60" s="14">
        <v>283592473.05000001</v>
      </c>
      <c r="J60" t="s">
        <v>1052</v>
      </c>
      <c r="K60" s="10">
        <v>19.541869999999999</v>
      </c>
      <c r="M60" s="10">
        <v>9.3195515094339658</v>
      </c>
      <c r="N60" s="10">
        <v>10.54690403846153</v>
      </c>
      <c r="O60" s="10">
        <v>11.372115769230771</v>
      </c>
      <c r="P60" s="10">
        <v>12.317477307692309</v>
      </c>
      <c r="Q60" s="10">
        <v>13.4164176923077</v>
      </c>
      <c r="R60" s="10">
        <v>14.330269615384619</v>
      </c>
      <c r="S60" s="10">
        <v>15.00475679245282</v>
      </c>
      <c r="T60" s="10">
        <v>15.716345192307701</v>
      </c>
      <c r="U60" s="10">
        <v>16.500243653846169</v>
      </c>
      <c r="V60" s="10">
        <v>17.308671538461549</v>
      </c>
      <c r="W60" s="10">
        <v>18.153488846153849</v>
      </c>
      <c r="X60" s="10">
        <v>19.025059056603769</v>
      </c>
      <c r="Y60" s="10">
        <v>19.50297853658536</v>
      </c>
      <c r="Z60" s="11">
        <f t="shared" si="0"/>
        <v>0.32761348000000001</v>
      </c>
    </row>
    <row r="61" spans="1:26" x14ac:dyDescent="0.3">
      <c r="A61" t="s">
        <v>60</v>
      </c>
      <c r="B61" t="s">
        <v>1226</v>
      </c>
      <c r="C61" t="s">
        <v>1227</v>
      </c>
      <c r="D61" t="s">
        <v>1014</v>
      </c>
      <c r="E61" t="s">
        <v>1023</v>
      </c>
      <c r="F61" t="s">
        <v>1068</v>
      </c>
      <c r="G61" t="s">
        <v>1228</v>
      </c>
      <c r="H61" s="13">
        <v>1822196.99</v>
      </c>
      <c r="I61" s="14">
        <v>276870163.55000001</v>
      </c>
      <c r="J61" t="s">
        <v>1052</v>
      </c>
      <c r="K61" s="10">
        <v>152.86727999999999</v>
      </c>
      <c r="R61" s="10">
        <v>119.41687711538469</v>
      </c>
      <c r="S61" s="10">
        <v>125.5188154716981</v>
      </c>
      <c r="T61" s="10">
        <v>131.1460125000001</v>
      </c>
      <c r="U61" s="10">
        <v>138.15566769230779</v>
      </c>
      <c r="V61" s="10">
        <v>147.69388384615371</v>
      </c>
      <c r="W61" s="10">
        <v>152.077599423077</v>
      </c>
      <c r="X61" s="10">
        <v>152.38948773584909</v>
      </c>
      <c r="Y61" s="10">
        <v>152.94150268292691</v>
      </c>
      <c r="Z61" s="11">
        <f t="shared" si="0"/>
        <v>0.27611349000000002</v>
      </c>
    </row>
    <row r="62" spans="1:26" x14ac:dyDescent="0.3">
      <c r="A62" t="s">
        <v>61</v>
      </c>
      <c r="B62" t="s">
        <v>1229</v>
      </c>
      <c r="C62" t="s">
        <v>1230</v>
      </c>
      <c r="D62" t="s">
        <v>1014</v>
      </c>
      <c r="E62" t="s">
        <v>1019</v>
      </c>
      <c r="F62" t="s">
        <v>1059</v>
      </c>
      <c r="G62" t="s">
        <v>1231</v>
      </c>
      <c r="H62" s="13">
        <v>41046112.963</v>
      </c>
      <c r="I62" s="14">
        <v>269886744.08999997</v>
      </c>
      <c r="J62" t="s">
        <v>1061</v>
      </c>
      <c r="K62" s="10">
        <v>6.1650600000000004</v>
      </c>
      <c r="M62" s="10">
        <v>21.015574716981131</v>
      </c>
      <c r="N62" s="10">
        <v>24.060815384615399</v>
      </c>
      <c r="O62" s="10">
        <v>24.058955000000019</v>
      </c>
      <c r="P62" s="10">
        <v>24.051386399999981</v>
      </c>
      <c r="Q62" s="10">
        <v>25.504847115384621</v>
      </c>
      <c r="R62" s="10">
        <v>27.206120000000009</v>
      </c>
      <c r="S62" s="10">
        <v>27.231002452830179</v>
      </c>
      <c r="T62" s="10">
        <v>27.226600000000019</v>
      </c>
      <c r="U62" s="10">
        <v>27.234361538461538</v>
      </c>
      <c r="V62" s="10">
        <v>28.0294332692308</v>
      </c>
      <c r="W62" s="10">
        <v>6.1714467307692322</v>
      </c>
      <c r="X62" s="10">
        <v>6.1680179245283027</v>
      </c>
      <c r="Y62" s="10">
        <v>6.1659643902439054</v>
      </c>
      <c r="Z62" s="11">
        <f t="shared" si="0"/>
        <v>-0.77328565000000005</v>
      </c>
    </row>
    <row r="63" spans="1:26" x14ac:dyDescent="0.3">
      <c r="A63" t="s">
        <v>62</v>
      </c>
      <c r="B63" t="s">
        <v>1232</v>
      </c>
      <c r="C63" t="s">
        <v>1233</v>
      </c>
      <c r="D63" t="s">
        <v>1014</v>
      </c>
      <c r="E63" t="s">
        <v>1032</v>
      </c>
      <c r="F63" t="s">
        <v>1193</v>
      </c>
      <c r="G63" t="s">
        <v>1222</v>
      </c>
      <c r="H63" s="13">
        <v>24748536</v>
      </c>
      <c r="I63" s="14">
        <v>268574660.44</v>
      </c>
      <c r="J63" t="s">
        <v>1052</v>
      </c>
      <c r="K63" s="10">
        <v>11.152520000000001</v>
      </c>
      <c r="T63" s="10">
        <v>9.6009535999999951</v>
      </c>
      <c r="U63" s="10">
        <v>9.9241376923076992</v>
      </c>
      <c r="V63" s="10">
        <v>10.23496730769231</v>
      </c>
      <c r="W63" s="10">
        <v>10.526938461538469</v>
      </c>
      <c r="X63" s="10">
        <v>10.83263188679245</v>
      </c>
      <c r="Y63" s="10">
        <v>11.158481219512201</v>
      </c>
      <c r="Z63" s="11" t="str">
        <f t="shared" si="0"/>
        <v/>
      </c>
    </row>
    <row r="64" spans="1:26" x14ac:dyDescent="0.3">
      <c r="A64" t="s">
        <v>63</v>
      </c>
      <c r="B64" t="s">
        <v>1234</v>
      </c>
      <c r="C64" t="s">
        <v>1235</v>
      </c>
      <c r="D64" t="s">
        <v>1014</v>
      </c>
      <c r="E64" t="s">
        <v>1027</v>
      </c>
      <c r="F64" t="s">
        <v>1218</v>
      </c>
      <c r="G64" t="s">
        <v>1219</v>
      </c>
      <c r="H64" s="13">
        <v>1056388</v>
      </c>
      <c r="I64" s="14">
        <v>266857282.5</v>
      </c>
      <c r="J64" t="s">
        <v>1052</v>
      </c>
      <c r="K64" s="10">
        <v>258.94166999999999</v>
      </c>
      <c r="W64" s="10">
        <v>242.59810837837841</v>
      </c>
      <c r="X64" s="10">
        <v>252.28461528301889</v>
      </c>
      <c r="Y64" s="10">
        <v>259.00212707317093</v>
      </c>
      <c r="Z64" s="11" t="str">
        <f t="shared" si="0"/>
        <v/>
      </c>
    </row>
    <row r="65" spans="1:26" x14ac:dyDescent="0.3">
      <c r="A65" t="s">
        <v>64</v>
      </c>
      <c r="B65" t="s">
        <v>1236</v>
      </c>
      <c r="C65" t="s">
        <v>1237</v>
      </c>
      <c r="D65" t="s">
        <v>1014</v>
      </c>
      <c r="E65" t="s">
        <v>1027</v>
      </c>
      <c r="F65" t="s">
        <v>1068</v>
      </c>
      <c r="G65" t="s">
        <v>1238</v>
      </c>
      <c r="H65" s="13">
        <v>600526.49699999997</v>
      </c>
      <c r="I65" s="14">
        <v>266188001.22999999</v>
      </c>
      <c r="J65" t="s">
        <v>1052</v>
      </c>
      <c r="K65" s="10">
        <v>429.97908999999999</v>
      </c>
      <c r="W65" s="10">
        <v>372.42162250000013</v>
      </c>
      <c r="X65" s="10">
        <v>397.14799962264141</v>
      </c>
      <c r="Y65" s="10">
        <v>425.65401536585358</v>
      </c>
      <c r="Z65" s="11" t="str">
        <f t="shared" si="0"/>
        <v/>
      </c>
    </row>
    <row r="66" spans="1:26" x14ac:dyDescent="0.3">
      <c r="A66" t="s">
        <v>65</v>
      </c>
      <c r="B66" t="s">
        <v>1239</v>
      </c>
      <c r="C66" t="s">
        <v>1240</v>
      </c>
      <c r="D66" t="s">
        <v>1014</v>
      </c>
      <c r="E66" t="s">
        <v>1025</v>
      </c>
      <c r="F66" t="s">
        <v>1241</v>
      </c>
      <c r="G66" t="s">
        <v>1242</v>
      </c>
      <c r="H66" s="13">
        <v>33884</v>
      </c>
      <c r="I66" s="14">
        <v>261920114.25</v>
      </c>
      <c r="J66" t="s">
        <v>1061</v>
      </c>
      <c r="K66" s="10">
        <v>8016.0364300000001</v>
      </c>
      <c r="Y66" s="10">
        <v>8033.0465824390212</v>
      </c>
      <c r="Z66" s="11" t="str">
        <f t="shared" ref="Z66:Z129" si="1">IF(AND(ISNUMBER(INDEX($L66:$Y66,MATCH(BaseYear,p_years,0))),ISNUMBER(INDEX($L66:$Y66,MATCH(EndYear,p_years,0)))),ROUND(INDEX($L66:$Y66,MATCH(EndYear,p_years,0))/INDEX($L66:$Y66,MATCH(BaseYear,p_years,0))-1,8),"")</f>
        <v/>
      </c>
    </row>
    <row r="67" spans="1:26" x14ac:dyDescent="0.3">
      <c r="A67" t="s">
        <v>66</v>
      </c>
      <c r="B67" t="s">
        <v>1243</v>
      </c>
      <c r="C67" t="s">
        <v>1244</v>
      </c>
      <c r="D67" t="s">
        <v>1014</v>
      </c>
      <c r="E67" t="s">
        <v>1022</v>
      </c>
      <c r="F67" t="s">
        <v>1055</v>
      </c>
      <c r="G67" t="s">
        <v>1245</v>
      </c>
      <c r="H67" s="13">
        <v>14332083</v>
      </c>
      <c r="I67" s="14">
        <v>261006348.84</v>
      </c>
      <c r="J67" t="s">
        <v>1052</v>
      </c>
      <c r="K67" s="10">
        <v>9.0199200000000008</v>
      </c>
      <c r="M67" s="10">
        <v>7.7836433962264193</v>
      </c>
      <c r="N67" s="10">
        <v>9.1230038461538445</v>
      </c>
      <c r="O67" s="10">
        <v>10.229531923076919</v>
      </c>
      <c r="P67" s="10">
        <v>11.32070615384615</v>
      </c>
      <c r="Q67" s="10">
        <v>12.361251538461531</v>
      </c>
      <c r="R67" s="10">
        <v>13.54168096153847</v>
      </c>
      <c r="S67" s="10">
        <v>14.21097490566037</v>
      </c>
      <c r="T67" s="10">
        <v>14.933677307692321</v>
      </c>
      <c r="U67" s="10">
        <v>15.6516976923077</v>
      </c>
      <c r="V67" s="10">
        <v>16.475284423076921</v>
      </c>
      <c r="W67" s="10">
        <v>17.286999615384619</v>
      </c>
      <c r="X67" s="10">
        <v>18.13422283018868</v>
      </c>
      <c r="Y67" s="10">
        <v>9.2476192682926825</v>
      </c>
      <c r="Z67" s="11">
        <f t="shared" si="1"/>
        <v>0.33914119999999998</v>
      </c>
    </row>
    <row r="68" spans="1:26" x14ac:dyDescent="0.3">
      <c r="A68" t="s">
        <v>67</v>
      </c>
      <c r="B68" t="s">
        <v>1246</v>
      </c>
      <c r="C68" t="s">
        <v>1247</v>
      </c>
      <c r="D68" t="s">
        <v>1014</v>
      </c>
      <c r="E68" t="s">
        <v>1027</v>
      </c>
      <c r="F68" t="s">
        <v>1055</v>
      </c>
      <c r="G68" t="s">
        <v>1248</v>
      </c>
      <c r="H68" s="13">
        <v>2490960</v>
      </c>
      <c r="I68" s="14">
        <v>259910907.53999999</v>
      </c>
      <c r="J68" t="s">
        <v>1052</v>
      </c>
      <c r="K68" s="10">
        <v>109.10704</v>
      </c>
      <c r="S68" s="10">
        <v>81.469130476190443</v>
      </c>
      <c r="T68" s="10">
        <v>85.575534230769179</v>
      </c>
      <c r="U68" s="10">
        <v>89.744932307692338</v>
      </c>
      <c r="V68" s="10">
        <v>94.443253653846128</v>
      </c>
      <c r="W68" s="10">
        <v>99.10138788461532</v>
      </c>
      <c r="X68" s="10">
        <v>103.915168490566</v>
      </c>
      <c r="Y68" s="10">
        <v>109.0425365853658</v>
      </c>
      <c r="Z68" s="11" t="str">
        <f t="shared" si="1"/>
        <v/>
      </c>
    </row>
    <row r="69" spans="1:26" x14ac:dyDescent="0.3">
      <c r="A69" t="s">
        <v>68</v>
      </c>
      <c r="B69" t="s">
        <v>1249</v>
      </c>
      <c r="C69" t="s">
        <v>1250</v>
      </c>
      <c r="D69" t="s">
        <v>1014</v>
      </c>
      <c r="E69" t="s">
        <v>1019</v>
      </c>
      <c r="F69" t="s">
        <v>1123</v>
      </c>
      <c r="G69" t="s">
        <v>1149</v>
      </c>
      <c r="H69" s="13">
        <v>494697.5</v>
      </c>
      <c r="I69" s="14">
        <v>258680784.5</v>
      </c>
      <c r="J69" t="s">
        <v>1061</v>
      </c>
      <c r="K69" s="10">
        <v>526.04606999999999</v>
      </c>
      <c r="W69" s="10">
        <v>510.60613355555529</v>
      </c>
      <c r="X69" s="10">
        <v>524.90727377358496</v>
      </c>
      <c r="Y69" s="10">
        <v>526.39149780487821</v>
      </c>
      <c r="Z69" s="11" t="str">
        <f t="shared" si="1"/>
        <v/>
      </c>
    </row>
    <row r="70" spans="1:26" x14ac:dyDescent="0.3">
      <c r="A70" t="s">
        <v>69</v>
      </c>
      <c r="B70" t="s">
        <v>1251</v>
      </c>
      <c r="C70" t="s">
        <v>1252</v>
      </c>
      <c r="D70" t="s">
        <v>1014</v>
      </c>
      <c r="E70" t="s">
        <v>1018</v>
      </c>
      <c r="F70" t="s">
        <v>1096</v>
      </c>
      <c r="G70" t="s">
        <v>1253</v>
      </c>
      <c r="H70" s="13">
        <v>22955041.800000001</v>
      </c>
      <c r="I70" s="14">
        <v>258639389.19999999</v>
      </c>
      <c r="J70" t="s">
        <v>1052</v>
      </c>
      <c r="K70" s="10">
        <v>11.592700000000001</v>
      </c>
      <c r="O70" s="10">
        <v>6.268501730769235</v>
      </c>
      <c r="P70" s="10">
        <v>6.6885692307692306</v>
      </c>
      <c r="Q70" s="10">
        <v>7.3967853846153808</v>
      </c>
      <c r="R70" s="10">
        <v>8.0997926923076875</v>
      </c>
      <c r="S70" s="10">
        <v>8.6892984905660349</v>
      </c>
      <c r="T70" s="10">
        <v>9.304889038461539</v>
      </c>
      <c r="U70" s="10">
        <v>10.050805192307701</v>
      </c>
      <c r="V70" s="10">
        <v>10.67550365384615</v>
      </c>
      <c r="W70" s="10">
        <v>10.990608076923071</v>
      </c>
      <c r="X70" s="10">
        <v>11.25523698113208</v>
      </c>
      <c r="Y70" s="10">
        <v>11.591776097560979</v>
      </c>
      <c r="Z70" s="11">
        <f t="shared" si="1"/>
        <v>0.38957099000000001</v>
      </c>
    </row>
    <row r="71" spans="1:26" x14ac:dyDescent="0.3">
      <c r="A71" t="s">
        <v>70</v>
      </c>
      <c r="B71" t="s">
        <v>1254</v>
      </c>
      <c r="C71" t="s">
        <v>1255</v>
      </c>
      <c r="D71" t="s">
        <v>1014</v>
      </c>
      <c r="E71" t="s">
        <v>1032</v>
      </c>
      <c r="F71" t="s">
        <v>1106</v>
      </c>
      <c r="G71" t="s">
        <v>1162</v>
      </c>
      <c r="H71" s="13">
        <v>12847786.48</v>
      </c>
      <c r="I71" s="14">
        <v>256215090.11000001</v>
      </c>
      <c r="J71" t="s">
        <v>1163</v>
      </c>
      <c r="K71" s="10">
        <v>19.245329999999999</v>
      </c>
      <c r="M71" s="10">
        <v>21.097109622641501</v>
      </c>
      <c r="N71" s="10">
        <v>22.75988326923078</v>
      </c>
      <c r="O71" s="10">
        <v>24.037479230769222</v>
      </c>
      <c r="P71" s="10">
        <v>25.42098076923077</v>
      </c>
      <c r="Q71" s="10">
        <v>26.920817499999991</v>
      </c>
      <c r="R71" s="10">
        <v>28.534453846153831</v>
      </c>
      <c r="S71" s="10">
        <v>29.623594339622649</v>
      </c>
      <c r="T71" s="10">
        <v>30.55338365384614</v>
      </c>
      <c r="U71" s="10">
        <v>31.164462692307708</v>
      </c>
      <c r="V71" s="10">
        <v>32.096759615384599</v>
      </c>
      <c r="W71" s="10">
        <v>19.536320576923071</v>
      </c>
      <c r="X71" s="10">
        <v>19.277183962264139</v>
      </c>
      <c r="Y71" s="10">
        <v>19.247162439024379</v>
      </c>
      <c r="Z71" s="11">
        <f t="shared" si="1"/>
        <v>-0.32442429</v>
      </c>
    </row>
    <row r="72" spans="1:26" x14ac:dyDescent="0.3">
      <c r="A72" t="s">
        <v>71</v>
      </c>
      <c r="B72" t="s">
        <v>1256</v>
      </c>
      <c r="C72" t="s">
        <v>1257</v>
      </c>
      <c r="D72" t="s">
        <v>1014</v>
      </c>
      <c r="E72" t="s">
        <v>1019</v>
      </c>
      <c r="F72" t="s">
        <v>1123</v>
      </c>
      <c r="G72" t="s">
        <v>1188</v>
      </c>
      <c r="H72" s="13">
        <v>472943.5</v>
      </c>
      <c r="I72" s="14">
        <v>246483051.25</v>
      </c>
      <c r="J72" t="s">
        <v>1061</v>
      </c>
      <c r="K72" s="10">
        <v>538.68356000000006</v>
      </c>
      <c r="V72" s="10">
        <v>491.00167942307718</v>
      </c>
      <c r="W72" s="10">
        <v>515.15930326923046</v>
      </c>
      <c r="X72" s="10">
        <v>522.09100603773538</v>
      </c>
      <c r="Y72" s="10">
        <v>538.29482073170743</v>
      </c>
      <c r="Z72" s="11" t="str">
        <f t="shared" si="1"/>
        <v/>
      </c>
    </row>
    <row r="73" spans="1:26" x14ac:dyDescent="0.3">
      <c r="A73" t="s">
        <v>72</v>
      </c>
      <c r="B73" t="s">
        <v>1258</v>
      </c>
      <c r="C73" t="s">
        <v>1259</v>
      </c>
      <c r="D73" t="s">
        <v>1014</v>
      </c>
      <c r="E73" t="s">
        <v>1019</v>
      </c>
      <c r="F73" t="s">
        <v>1123</v>
      </c>
      <c r="G73" t="s">
        <v>1188</v>
      </c>
      <c r="H73" s="13">
        <v>471537.5</v>
      </c>
      <c r="I73" s="14">
        <v>246296027.03</v>
      </c>
      <c r="J73" t="s">
        <v>1061</v>
      </c>
      <c r="K73" s="10">
        <v>538.68839000000003</v>
      </c>
      <c r="U73" s="10">
        <v>467.36583000000002</v>
      </c>
      <c r="V73" s="10">
        <v>491.38776192307711</v>
      </c>
      <c r="W73" s="10">
        <v>515.38854903846129</v>
      </c>
      <c r="X73" s="10">
        <v>522.19656999999972</v>
      </c>
      <c r="Y73" s="10">
        <v>538.34386731707309</v>
      </c>
      <c r="Z73" s="11" t="str">
        <f t="shared" si="1"/>
        <v/>
      </c>
    </row>
    <row r="74" spans="1:26" x14ac:dyDescent="0.3">
      <c r="A74" t="s">
        <v>73</v>
      </c>
      <c r="B74" t="s">
        <v>1260</v>
      </c>
      <c r="C74" t="s">
        <v>1261</v>
      </c>
      <c r="D74" t="s">
        <v>1014</v>
      </c>
      <c r="E74" t="s">
        <v>1025</v>
      </c>
      <c r="F74" t="s">
        <v>1059</v>
      </c>
      <c r="G74" t="s">
        <v>1060</v>
      </c>
      <c r="H74" s="13">
        <v>146326.658</v>
      </c>
      <c r="I74" s="14">
        <v>245729856.69</v>
      </c>
      <c r="J74" t="s">
        <v>1061</v>
      </c>
      <c r="K74" s="10">
        <v>1773.7350899999999</v>
      </c>
      <c r="T74" s="10">
        <v>1366.4729900000009</v>
      </c>
      <c r="U74" s="10">
        <v>1436.6970880769229</v>
      </c>
      <c r="V74" s="10">
        <v>1528.8362259615369</v>
      </c>
      <c r="W74" s="10">
        <v>1616.954257692307</v>
      </c>
      <c r="X74" s="10">
        <v>1692.3914967924529</v>
      </c>
      <c r="Y74" s="10">
        <v>1772.949559512195</v>
      </c>
      <c r="Z74" s="11" t="str">
        <f t="shared" si="1"/>
        <v/>
      </c>
    </row>
    <row r="75" spans="1:26" x14ac:dyDescent="0.3">
      <c r="A75" t="s">
        <v>74</v>
      </c>
      <c r="B75" t="s">
        <v>1262</v>
      </c>
      <c r="C75" t="s">
        <v>1263</v>
      </c>
      <c r="D75" t="s">
        <v>1014</v>
      </c>
      <c r="E75" t="s">
        <v>1022</v>
      </c>
      <c r="F75" t="s">
        <v>1055</v>
      </c>
      <c r="G75" t="s">
        <v>1264</v>
      </c>
      <c r="H75" s="13">
        <v>19604585</v>
      </c>
      <c r="I75" s="14">
        <v>242180743.37</v>
      </c>
      <c r="J75" t="s">
        <v>1052</v>
      </c>
      <c r="K75" s="10">
        <v>12.671010000000001</v>
      </c>
      <c r="M75" s="10">
        <v>6.7154937735849014</v>
      </c>
      <c r="N75" s="10">
        <v>7.472101923076921</v>
      </c>
      <c r="O75" s="10">
        <v>7.5921930769230794</v>
      </c>
      <c r="P75" s="10">
        <v>7.9483065384615337</v>
      </c>
      <c r="Q75" s="10">
        <v>8.4764430769230721</v>
      </c>
      <c r="R75" s="10">
        <v>8.9933878846153874</v>
      </c>
      <c r="S75" s="10">
        <v>9.6369835849056553</v>
      </c>
      <c r="T75" s="10">
        <v>10.22683711538461</v>
      </c>
      <c r="U75" s="10">
        <v>10.83695288461538</v>
      </c>
      <c r="V75" s="10">
        <v>11.404111730769239</v>
      </c>
      <c r="W75" s="10">
        <v>11.97796576923076</v>
      </c>
      <c r="X75" s="10">
        <v>12.37123320754718</v>
      </c>
      <c r="Y75" s="10">
        <v>12.68301512195122</v>
      </c>
      <c r="Z75" s="11">
        <f t="shared" si="1"/>
        <v>0.37559208999999999</v>
      </c>
    </row>
    <row r="76" spans="1:26" x14ac:dyDescent="0.3">
      <c r="A76" t="s">
        <v>75</v>
      </c>
      <c r="B76" t="s">
        <v>1265</v>
      </c>
      <c r="C76" t="s">
        <v>1266</v>
      </c>
      <c r="D76" t="s">
        <v>1014</v>
      </c>
      <c r="E76" t="s">
        <v>1023</v>
      </c>
      <c r="F76" t="s">
        <v>1193</v>
      </c>
      <c r="G76" t="s">
        <v>1267</v>
      </c>
      <c r="H76" s="13">
        <v>3237224</v>
      </c>
      <c r="I76" s="14">
        <v>242012235.59999999</v>
      </c>
      <c r="J76" t="s">
        <v>1052</v>
      </c>
      <c r="K76" s="10">
        <v>77.635620000000003</v>
      </c>
      <c r="M76" s="10">
        <v>39.492073207547143</v>
      </c>
      <c r="N76" s="10">
        <v>42.155551346153821</v>
      </c>
      <c r="O76" s="10">
        <v>45.583013076923081</v>
      </c>
      <c r="P76" s="10">
        <v>48.938112692307669</v>
      </c>
      <c r="Q76" s="10">
        <v>53.383992884615367</v>
      </c>
      <c r="R76" s="10">
        <v>56.288501346153822</v>
      </c>
      <c r="S76" s="10">
        <v>59.12657320754716</v>
      </c>
      <c r="T76" s="10">
        <v>62.036133269230767</v>
      </c>
      <c r="U76" s="10">
        <v>64.938406153846202</v>
      </c>
      <c r="V76" s="10">
        <v>68.971320769230815</v>
      </c>
      <c r="W76" s="10">
        <v>72.983100576923036</v>
      </c>
      <c r="X76" s="10">
        <v>75.253083018867841</v>
      </c>
      <c r="Y76" s="10">
        <v>77.633764390243869</v>
      </c>
      <c r="Z76" s="11">
        <f t="shared" si="1"/>
        <v>0.33691750999999998</v>
      </c>
    </row>
    <row r="77" spans="1:26" x14ac:dyDescent="0.3">
      <c r="A77" t="s">
        <v>76</v>
      </c>
      <c r="B77" t="s">
        <v>1268</v>
      </c>
      <c r="C77" t="s">
        <v>1269</v>
      </c>
      <c r="D77" t="s">
        <v>1014</v>
      </c>
      <c r="E77" t="s">
        <v>1027</v>
      </c>
      <c r="F77" t="s">
        <v>1270</v>
      </c>
      <c r="G77" t="s">
        <v>1271</v>
      </c>
      <c r="H77" s="13">
        <v>18832938.280000001</v>
      </c>
      <c r="I77" s="14">
        <v>238031922.09999999</v>
      </c>
      <c r="J77" t="s">
        <v>1052</v>
      </c>
      <c r="K77" s="10">
        <v>12.34562</v>
      </c>
      <c r="M77" s="10">
        <v>6.4611883018867919</v>
      </c>
      <c r="N77" s="10">
        <v>7.1514563461538438</v>
      </c>
      <c r="O77" s="10">
        <v>8.0233401923076926</v>
      </c>
      <c r="P77" s="10">
        <v>8.6813951923076988</v>
      </c>
      <c r="Q77" s="10">
        <v>9.4386171153846181</v>
      </c>
      <c r="R77" s="10">
        <v>9.6509915384615326</v>
      </c>
      <c r="S77" s="10">
        <v>10.18817132075471</v>
      </c>
      <c r="T77" s="10">
        <v>10.697628653846159</v>
      </c>
      <c r="U77" s="10">
        <v>11.244633269230761</v>
      </c>
      <c r="V77" s="10">
        <v>11.80361442307693</v>
      </c>
      <c r="W77" s="10">
        <v>12.39474923076923</v>
      </c>
      <c r="X77" s="10">
        <v>12.38016981132076</v>
      </c>
      <c r="Y77" s="10">
        <v>12.35107073170731</v>
      </c>
      <c r="Z77" s="11">
        <f t="shared" si="1"/>
        <v>0.28278734</v>
      </c>
    </row>
    <row r="78" spans="1:26" x14ac:dyDescent="0.3">
      <c r="A78" t="s">
        <v>77</v>
      </c>
      <c r="B78" t="s">
        <v>1272</v>
      </c>
      <c r="C78" t="s">
        <v>1273</v>
      </c>
      <c r="D78" t="s">
        <v>1014</v>
      </c>
      <c r="E78" t="s">
        <v>1020</v>
      </c>
      <c r="F78" t="s">
        <v>1064</v>
      </c>
      <c r="G78" t="s">
        <v>1213</v>
      </c>
      <c r="H78" s="13">
        <v>215241.549</v>
      </c>
      <c r="I78" s="14">
        <v>229418664.43000001</v>
      </c>
      <c r="J78" t="s">
        <v>1061</v>
      </c>
      <c r="K78" s="10">
        <v>1136.4555600000001</v>
      </c>
      <c r="N78" s="10">
        <v>622.39203351351387</v>
      </c>
      <c r="O78" s="10">
        <v>668.46481538461546</v>
      </c>
      <c r="P78" s="10">
        <v>722.22006057692249</v>
      </c>
      <c r="Q78" s="10">
        <v>762.93270000000018</v>
      </c>
      <c r="S78" s="10">
        <v>860.39866999999981</v>
      </c>
      <c r="T78" s="10">
        <v>900.12591942307677</v>
      </c>
      <c r="U78" s="10">
        <v>944.74689076923028</v>
      </c>
      <c r="V78" s="10">
        <v>990.06102769230642</v>
      </c>
      <c r="W78" s="10">
        <v>1037.3216</v>
      </c>
      <c r="X78" s="10">
        <v>1087.261539811321</v>
      </c>
      <c r="Y78" s="10">
        <v>1142.397433658537</v>
      </c>
      <c r="Z78" s="11" t="str">
        <f t="shared" si="1"/>
        <v/>
      </c>
    </row>
    <row r="79" spans="1:26" x14ac:dyDescent="0.3">
      <c r="A79" t="s">
        <v>78</v>
      </c>
      <c r="B79" t="s">
        <v>1274</v>
      </c>
      <c r="C79" t="s">
        <v>1275</v>
      </c>
      <c r="D79" t="s">
        <v>1014</v>
      </c>
      <c r="E79" t="s">
        <v>1019</v>
      </c>
      <c r="F79" t="s">
        <v>1123</v>
      </c>
      <c r="G79" t="s">
        <v>1188</v>
      </c>
      <c r="H79" s="13">
        <v>430950.14299999998</v>
      </c>
      <c r="I79" s="14">
        <v>224231020.16999999</v>
      </c>
      <c r="J79" t="s">
        <v>1061</v>
      </c>
      <c r="K79" s="10">
        <v>538.51759000000004</v>
      </c>
      <c r="V79" s="10">
        <v>491.47241519230778</v>
      </c>
      <c r="W79" s="10">
        <v>515.14592096153842</v>
      </c>
      <c r="X79" s="10">
        <v>521.98056716981137</v>
      </c>
      <c r="Y79" s="10">
        <v>538.17109463414658</v>
      </c>
      <c r="Z79" s="11" t="str">
        <f t="shared" si="1"/>
        <v/>
      </c>
    </row>
    <row r="80" spans="1:26" x14ac:dyDescent="0.3">
      <c r="A80" t="s">
        <v>79</v>
      </c>
      <c r="B80" t="s">
        <v>1276</v>
      </c>
      <c r="C80" t="s">
        <v>1277</v>
      </c>
      <c r="D80" t="s">
        <v>1014</v>
      </c>
      <c r="E80" t="s">
        <v>1023</v>
      </c>
      <c r="F80" t="s">
        <v>1193</v>
      </c>
      <c r="G80" t="s">
        <v>1278</v>
      </c>
      <c r="H80" s="13">
        <v>1775978</v>
      </c>
      <c r="I80" s="14">
        <v>222614270.03</v>
      </c>
      <c r="J80" t="s">
        <v>1052</v>
      </c>
      <c r="K80" s="10">
        <v>130.00624999999999</v>
      </c>
      <c r="N80" s="10">
        <v>72.142973461538404</v>
      </c>
      <c r="O80" s="10">
        <v>77.637032692307713</v>
      </c>
      <c r="P80" s="10">
        <v>82.919700769230758</v>
      </c>
      <c r="Q80" s="10">
        <v>90.421115961538462</v>
      </c>
      <c r="R80" s="10">
        <v>93.339540769230794</v>
      </c>
      <c r="S80" s="10">
        <v>98.098312830188661</v>
      </c>
      <c r="T80" s="10">
        <v>102.9116773076923</v>
      </c>
      <c r="U80" s="10">
        <v>107.6936615384615</v>
      </c>
      <c r="V80" s="10">
        <v>114.381833653846</v>
      </c>
      <c r="W80" s="10">
        <v>121.0774784615385</v>
      </c>
      <c r="X80" s="10">
        <v>126.003469245283</v>
      </c>
      <c r="Y80" s="10">
        <v>130.05527317073179</v>
      </c>
      <c r="Z80" s="11">
        <f t="shared" si="1"/>
        <v>0.34994739000000002</v>
      </c>
    </row>
    <row r="81" spans="1:26" x14ac:dyDescent="0.3">
      <c r="A81" t="s">
        <v>80</v>
      </c>
      <c r="B81" t="s">
        <v>1279</v>
      </c>
      <c r="C81" t="s">
        <v>1280</v>
      </c>
      <c r="D81" t="s">
        <v>1014</v>
      </c>
      <c r="E81" t="s">
        <v>1025</v>
      </c>
      <c r="F81" t="s">
        <v>1055</v>
      </c>
      <c r="G81" t="s">
        <v>1056</v>
      </c>
      <c r="H81" s="13">
        <v>66055.8</v>
      </c>
      <c r="I81" s="14">
        <v>220240758.97</v>
      </c>
      <c r="J81" t="s">
        <v>1052</v>
      </c>
      <c r="K81" s="10">
        <v>3366.89653</v>
      </c>
      <c r="M81" s="10">
        <v>1272.7667175471711</v>
      </c>
      <c r="N81" s="10">
        <v>1560.3565073076929</v>
      </c>
      <c r="O81" s="10">
        <v>1910.3691176923089</v>
      </c>
      <c r="P81" s="10">
        <v>2138.0698159615381</v>
      </c>
      <c r="Q81" s="10">
        <v>2367.216926730769</v>
      </c>
      <c r="R81" s="10">
        <v>2518.2800657692301</v>
      </c>
      <c r="S81" s="10">
        <v>2703.5179041509441</v>
      </c>
      <c r="T81" s="10">
        <v>2900.449528269231</v>
      </c>
      <c r="U81" s="10">
        <v>3107.0743542307691</v>
      </c>
      <c r="V81" s="10">
        <v>3364.2332684615362</v>
      </c>
      <c r="W81" s="10">
        <v>3366.5616501923082</v>
      </c>
      <c r="X81" s="10">
        <v>3364.2001835849042</v>
      </c>
      <c r="Y81" s="10">
        <v>3366.5889695121959</v>
      </c>
      <c r="Z81" s="11">
        <f t="shared" si="1"/>
        <v>0.33591185000000001</v>
      </c>
    </row>
    <row r="82" spans="1:26" x14ac:dyDescent="0.3">
      <c r="A82" t="s">
        <v>81</v>
      </c>
      <c r="B82" t="s">
        <v>1281</v>
      </c>
      <c r="C82" t="s">
        <v>1282</v>
      </c>
      <c r="D82" t="s">
        <v>1014</v>
      </c>
      <c r="E82" t="s">
        <v>1027</v>
      </c>
      <c r="F82" t="s">
        <v>1270</v>
      </c>
      <c r="G82" t="s">
        <v>1271</v>
      </c>
      <c r="H82" s="13">
        <v>16799895</v>
      </c>
      <c r="I82" s="14">
        <v>212206005.22999999</v>
      </c>
      <c r="J82" t="s">
        <v>1052</v>
      </c>
      <c r="K82" s="10">
        <v>12.349640000000001</v>
      </c>
      <c r="M82" s="10">
        <v>6.5247283018867952</v>
      </c>
      <c r="N82" s="10">
        <v>7.1933338461538483</v>
      </c>
      <c r="O82" s="10">
        <v>8.0030444230769202</v>
      </c>
      <c r="P82" s="10">
        <v>8.6585121153846121</v>
      </c>
      <c r="Q82" s="10">
        <v>9.4226671153846091</v>
      </c>
      <c r="R82" s="10">
        <v>9.6593869230769211</v>
      </c>
      <c r="S82" s="10">
        <v>10.18730377358491</v>
      </c>
      <c r="T82" s="10">
        <v>10.6992525</v>
      </c>
      <c r="U82" s="10">
        <v>11.23417288461537</v>
      </c>
      <c r="V82" s="10">
        <v>11.79451499999999</v>
      </c>
      <c r="W82" s="10">
        <v>12.39498634615385</v>
      </c>
      <c r="X82" s="10">
        <v>12.381629245283021</v>
      </c>
      <c r="Y82" s="10">
        <v>12.35504731707317</v>
      </c>
      <c r="Z82" s="11">
        <f t="shared" si="1"/>
        <v>0.28182351</v>
      </c>
    </row>
    <row r="83" spans="1:26" x14ac:dyDescent="0.3">
      <c r="A83" t="s">
        <v>82</v>
      </c>
      <c r="B83" t="s">
        <v>1283</v>
      </c>
      <c r="C83" t="s">
        <v>1284</v>
      </c>
      <c r="D83" t="s">
        <v>1014</v>
      </c>
      <c r="E83" t="s">
        <v>1027</v>
      </c>
      <c r="F83" t="s">
        <v>1123</v>
      </c>
      <c r="G83" t="s">
        <v>1285</v>
      </c>
      <c r="H83" s="13">
        <v>298118.84000000003</v>
      </c>
      <c r="I83" s="14">
        <v>211966296.66999999</v>
      </c>
      <c r="J83" t="s">
        <v>1061</v>
      </c>
      <c r="K83" s="10">
        <v>734.28327999999999</v>
      </c>
      <c r="R83" s="10">
        <v>553.83720020408202</v>
      </c>
      <c r="S83" s="10">
        <v>580.06026924528339</v>
      </c>
      <c r="T83" s="10">
        <v>606.72191288461522</v>
      </c>
      <c r="U83" s="10">
        <v>631.50274000000059</v>
      </c>
      <c r="V83" s="10">
        <v>656.41924230769234</v>
      </c>
      <c r="W83" s="10">
        <v>680.8913749999997</v>
      </c>
      <c r="X83" s="10">
        <v>713.56513792452836</v>
      </c>
      <c r="Y83" s="10">
        <v>734.19872268292681</v>
      </c>
      <c r="Z83" s="11">
        <f t="shared" si="1"/>
        <v>0.28840232999999998</v>
      </c>
    </row>
    <row r="84" spans="1:26" x14ac:dyDescent="0.3">
      <c r="A84" t="s">
        <v>83</v>
      </c>
      <c r="B84" t="s">
        <v>1286</v>
      </c>
      <c r="C84" t="s">
        <v>1287</v>
      </c>
      <c r="D84" t="s">
        <v>1014</v>
      </c>
      <c r="E84" t="s">
        <v>1027</v>
      </c>
      <c r="F84" t="s">
        <v>1055</v>
      </c>
      <c r="G84" t="s">
        <v>1103</v>
      </c>
      <c r="H84" s="13">
        <v>4249885</v>
      </c>
      <c r="I84" s="14">
        <v>206044488.66</v>
      </c>
      <c r="J84" t="s">
        <v>1052</v>
      </c>
      <c r="K84" s="10">
        <v>50.786149999999999</v>
      </c>
      <c r="P84" s="10">
        <v>34.127266153846158</v>
      </c>
      <c r="Q84" s="10">
        <v>38.190930769230746</v>
      </c>
      <c r="R84" s="10">
        <v>38.421711923076913</v>
      </c>
      <c r="S84" s="10">
        <v>39.179687547169827</v>
      </c>
      <c r="T84" s="10">
        <v>40.473198269230757</v>
      </c>
      <c r="U84" s="10">
        <v>41.821776153846137</v>
      </c>
      <c r="V84" s="10">
        <v>43.979845769230778</v>
      </c>
      <c r="W84" s="10">
        <v>46.200102499999993</v>
      </c>
      <c r="X84" s="10">
        <v>48.47546018867925</v>
      </c>
      <c r="Y84" s="10">
        <v>50.812209999999993</v>
      </c>
      <c r="Z84" s="11">
        <f t="shared" si="1"/>
        <v>0.26166841000000002</v>
      </c>
    </row>
    <row r="85" spans="1:26" x14ac:dyDescent="0.3">
      <c r="A85" t="s">
        <v>84</v>
      </c>
      <c r="B85" t="s">
        <v>1288</v>
      </c>
      <c r="C85" t="s">
        <v>1289</v>
      </c>
      <c r="D85" t="s">
        <v>1014</v>
      </c>
      <c r="E85" t="s">
        <v>1028</v>
      </c>
      <c r="F85" t="s">
        <v>1096</v>
      </c>
      <c r="G85" t="s">
        <v>1290</v>
      </c>
      <c r="H85" s="13">
        <v>699258</v>
      </c>
      <c r="I85" s="14">
        <v>205015188.31999999</v>
      </c>
      <c r="J85" t="s">
        <v>1052</v>
      </c>
      <c r="K85" s="10">
        <v>289.71672999999998</v>
      </c>
      <c r="X85" s="10">
        <v>291.3369698113205</v>
      </c>
      <c r="Y85" s="10">
        <v>289.95582268292691</v>
      </c>
      <c r="Z85" s="11" t="str">
        <f t="shared" si="1"/>
        <v/>
      </c>
    </row>
    <row r="86" spans="1:26" x14ac:dyDescent="0.3">
      <c r="A86" t="s">
        <v>85</v>
      </c>
      <c r="B86" t="s">
        <v>1291</v>
      </c>
      <c r="C86" t="s">
        <v>1292</v>
      </c>
      <c r="D86" t="s">
        <v>1014</v>
      </c>
      <c r="E86" t="s">
        <v>1025</v>
      </c>
      <c r="F86" t="s">
        <v>1055</v>
      </c>
      <c r="G86" t="s">
        <v>1137</v>
      </c>
      <c r="H86" s="13">
        <v>943087</v>
      </c>
      <c r="I86" s="14">
        <v>204833547.03999999</v>
      </c>
      <c r="J86" t="s">
        <v>1052</v>
      </c>
      <c r="K86" s="10">
        <v>229.29390000000001</v>
      </c>
      <c r="W86" s="10">
        <v>207.0180237837838</v>
      </c>
      <c r="X86" s="10">
        <v>217.87613773584911</v>
      </c>
      <c r="Y86" s="10">
        <v>228.55647024390251</v>
      </c>
      <c r="Z86" s="11" t="str">
        <f t="shared" si="1"/>
        <v/>
      </c>
    </row>
    <row r="87" spans="1:26" x14ac:dyDescent="0.3">
      <c r="A87" t="s">
        <v>86</v>
      </c>
      <c r="B87" t="s">
        <v>1293</v>
      </c>
      <c r="C87" t="s">
        <v>1294</v>
      </c>
      <c r="D87" t="s">
        <v>1014</v>
      </c>
      <c r="E87" t="s">
        <v>1023</v>
      </c>
      <c r="F87" t="s">
        <v>1050</v>
      </c>
      <c r="G87" t="s">
        <v>1295</v>
      </c>
      <c r="H87" s="13">
        <v>1597543</v>
      </c>
      <c r="I87" s="14">
        <v>197028230.44999999</v>
      </c>
      <c r="J87" t="s">
        <v>1052</v>
      </c>
      <c r="K87" s="10">
        <v>130.49198000000001</v>
      </c>
      <c r="O87" s="10">
        <v>76.018432857142869</v>
      </c>
      <c r="P87" s="10">
        <v>80.14516596153841</v>
      </c>
      <c r="Q87" s="10">
        <v>86.453321346153842</v>
      </c>
      <c r="R87" s="10">
        <v>90.012439230769289</v>
      </c>
      <c r="S87" s="10">
        <v>95.575910566037663</v>
      </c>
      <c r="T87" s="10">
        <v>99.966507500000006</v>
      </c>
      <c r="U87" s="10">
        <v>105.6745817307693</v>
      </c>
      <c r="V87" s="10">
        <v>111.90360749999989</v>
      </c>
      <c r="W87" s="10">
        <v>117.1840713461538</v>
      </c>
      <c r="X87" s="10">
        <v>123.944060754717</v>
      </c>
      <c r="Y87" s="10">
        <v>130.222368292683</v>
      </c>
      <c r="Z87" s="11">
        <f t="shared" si="1"/>
        <v>0.37696592000000001</v>
      </c>
    </row>
    <row r="88" spans="1:26" x14ac:dyDescent="0.3">
      <c r="A88" t="s">
        <v>87</v>
      </c>
      <c r="B88" t="s">
        <v>1296</v>
      </c>
      <c r="C88" t="s">
        <v>1297</v>
      </c>
      <c r="D88" t="s">
        <v>1014</v>
      </c>
      <c r="E88" t="s">
        <v>1031</v>
      </c>
      <c r="F88" t="s">
        <v>1298</v>
      </c>
      <c r="G88" t="s">
        <v>1299</v>
      </c>
      <c r="H88" s="13">
        <v>3782089.5</v>
      </c>
      <c r="I88" s="14">
        <v>195029260.86000001</v>
      </c>
      <c r="J88" t="s">
        <v>1061</v>
      </c>
      <c r="K88" s="10">
        <v>53.156930000000003</v>
      </c>
      <c r="M88" s="10">
        <v>33.309340188679251</v>
      </c>
      <c r="N88" s="10">
        <v>36.320548846153862</v>
      </c>
      <c r="O88" s="10">
        <v>39.477051538461517</v>
      </c>
      <c r="P88" s="10">
        <v>42.072225384615379</v>
      </c>
      <c r="Q88" s="10">
        <v>44.454018846153843</v>
      </c>
      <c r="R88" s="10">
        <v>44.642972307692297</v>
      </c>
      <c r="S88" s="10">
        <v>44.524342641509428</v>
      </c>
      <c r="T88" s="10">
        <v>44.589828653846148</v>
      </c>
      <c r="U88" s="10">
        <v>46.32471326923072</v>
      </c>
      <c r="V88" s="10">
        <v>48.978076730769203</v>
      </c>
      <c r="W88" s="10">
        <v>50.314400384615382</v>
      </c>
      <c r="X88" s="10">
        <v>51.569553018867907</v>
      </c>
      <c r="Y88" s="10">
        <v>53.140370000000011</v>
      </c>
      <c r="Z88" s="11">
        <f t="shared" si="1"/>
        <v>0.15515501000000001</v>
      </c>
    </row>
    <row r="89" spans="1:26" x14ac:dyDescent="0.3">
      <c r="A89" t="s">
        <v>88</v>
      </c>
      <c r="B89" t="s">
        <v>1300</v>
      </c>
      <c r="C89" t="s">
        <v>1301</v>
      </c>
      <c r="D89" t="s">
        <v>1014</v>
      </c>
      <c r="E89" t="s">
        <v>1027</v>
      </c>
      <c r="F89" t="s">
        <v>1055</v>
      </c>
      <c r="G89" t="s">
        <v>1302</v>
      </c>
      <c r="H89" s="13">
        <v>5189347.5</v>
      </c>
      <c r="I89" s="14">
        <v>190760246.58000001</v>
      </c>
      <c r="J89" t="s">
        <v>1052</v>
      </c>
      <c r="K89" s="10">
        <v>38.44941</v>
      </c>
      <c r="U89" s="10">
        <v>31.834190000000021</v>
      </c>
      <c r="V89" s="10">
        <v>33.359011346153821</v>
      </c>
      <c r="W89" s="10">
        <v>34.923687884615397</v>
      </c>
      <c r="X89" s="10">
        <v>36.630683018867927</v>
      </c>
      <c r="Y89" s="10">
        <v>38.422550731707297</v>
      </c>
      <c r="Z89" s="11" t="str">
        <f t="shared" si="1"/>
        <v/>
      </c>
    </row>
    <row r="90" spans="1:26" x14ac:dyDescent="0.3">
      <c r="A90" t="s">
        <v>89</v>
      </c>
      <c r="B90" t="s">
        <v>1303</v>
      </c>
      <c r="C90" t="s">
        <v>1304</v>
      </c>
      <c r="D90" t="s">
        <v>1014</v>
      </c>
      <c r="E90" t="s">
        <v>1019</v>
      </c>
      <c r="F90" t="s">
        <v>1305</v>
      </c>
      <c r="G90" t="s">
        <v>1306</v>
      </c>
      <c r="H90" s="13">
        <v>16768482.328</v>
      </c>
      <c r="I90" s="14">
        <v>184391777.53999999</v>
      </c>
      <c r="J90" t="s">
        <v>1052</v>
      </c>
      <c r="K90" s="10">
        <v>10.55179</v>
      </c>
      <c r="M90" s="10">
        <v>9.4895890566037817</v>
      </c>
      <c r="N90" s="10">
        <v>10.890763269230771</v>
      </c>
      <c r="O90" s="10">
        <v>11.709141923076929</v>
      </c>
      <c r="P90" s="10">
        <v>12.45758442307692</v>
      </c>
      <c r="Q90" s="10">
        <v>13.71448442307693</v>
      </c>
      <c r="R90" s="10">
        <v>14.41226384615385</v>
      </c>
      <c r="S90" s="10">
        <v>15.12254679245283</v>
      </c>
      <c r="T90" s="10">
        <v>15.87590999999999</v>
      </c>
      <c r="U90" s="10">
        <v>16.66652346153845</v>
      </c>
      <c r="V90" s="10">
        <v>17.472736346153852</v>
      </c>
      <c r="W90" s="10">
        <v>18.298023653846169</v>
      </c>
      <c r="X90" s="10">
        <v>10.554373773584899</v>
      </c>
      <c r="Y90" s="10">
        <v>10.55428</v>
      </c>
      <c r="Z90" s="11">
        <f t="shared" si="1"/>
        <v>-0.26768106000000003</v>
      </c>
    </row>
    <row r="91" spans="1:26" x14ac:dyDescent="0.3">
      <c r="A91" t="s">
        <v>90</v>
      </c>
      <c r="B91" t="s">
        <v>1307</v>
      </c>
      <c r="C91" t="s">
        <v>1308</v>
      </c>
      <c r="D91" t="s">
        <v>1014</v>
      </c>
      <c r="E91" t="s">
        <v>1022</v>
      </c>
      <c r="F91" t="s">
        <v>1055</v>
      </c>
      <c r="G91" t="s">
        <v>1245</v>
      </c>
      <c r="H91" s="13">
        <v>10043300</v>
      </c>
      <c r="I91" s="14">
        <v>182636436.68000001</v>
      </c>
      <c r="J91" t="s">
        <v>1052</v>
      </c>
      <c r="K91" s="10">
        <v>9.0154300000000003</v>
      </c>
      <c r="M91" s="10">
        <v>7.8145818867924577</v>
      </c>
      <c r="N91" s="10">
        <v>9.1592696153846163</v>
      </c>
      <c r="O91" s="10">
        <v>10.270191923076929</v>
      </c>
      <c r="P91" s="10">
        <v>11.31683461538462</v>
      </c>
      <c r="Q91" s="10">
        <v>12.376309038461541</v>
      </c>
      <c r="R91" s="10">
        <v>13.542344423076919</v>
      </c>
      <c r="S91" s="10">
        <v>14.220069622641519</v>
      </c>
      <c r="T91" s="10">
        <v>14.920767115384621</v>
      </c>
      <c r="U91" s="10">
        <v>15.63407307692308</v>
      </c>
      <c r="V91" s="10">
        <v>16.456858269230779</v>
      </c>
      <c r="W91" s="10">
        <v>17.274959615384621</v>
      </c>
      <c r="X91" s="10">
        <v>18.131453396226409</v>
      </c>
      <c r="Y91" s="10">
        <v>9.2437990243902473</v>
      </c>
      <c r="Z91" s="11">
        <f t="shared" si="1"/>
        <v>0.33887108999999999</v>
      </c>
    </row>
    <row r="92" spans="1:26" x14ac:dyDescent="0.3">
      <c r="A92" t="s">
        <v>91</v>
      </c>
      <c r="B92" t="s">
        <v>1309</v>
      </c>
      <c r="C92" t="s">
        <v>1310</v>
      </c>
      <c r="D92" t="s">
        <v>1014</v>
      </c>
      <c r="E92" t="s">
        <v>1025</v>
      </c>
      <c r="F92" t="s">
        <v>1055</v>
      </c>
      <c r="G92" t="s">
        <v>1056</v>
      </c>
      <c r="H92" s="13">
        <v>54397.25</v>
      </c>
      <c r="I92" s="14">
        <v>181155557.40000001</v>
      </c>
      <c r="J92" t="s">
        <v>1052</v>
      </c>
      <c r="K92" s="10">
        <v>3367.1829400000001</v>
      </c>
      <c r="R92" s="10">
        <v>2532.3889171874998</v>
      </c>
      <c r="S92" s="10">
        <v>2703.780813584905</v>
      </c>
      <c r="T92" s="10">
        <v>2904.9233636538438</v>
      </c>
      <c r="U92" s="10">
        <v>3111.093185192311</v>
      </c>
      <c r="V92" s="10">
        <v>3368.5847209615358</v>
      </c>
      <c r="W92" s="10">
        <v>3366.3614136538458</v>
      </c>
      <c r="X92" s="10">
        <v>3363.054958301886</v>
      </c>
      <c r="Y92" s="10">
        <v>3367.7510653658528</v>
      </c>
      <c r="Z92" s="11">
        <f t="shared" si="1"/>
        <v>0.32801677000000001</v>
      </c>
    </row>
    <row r="93" spans="1:26" x14ac:dyDescent="0.3">
      <c r="A93" t="s">
        <v>92</v>
      </c>
      <c r="B93" t="s">
        <v>1311</v>
      </c>
      <c r="C93" t="s">
        <v>1312</v>
      </c>
      <c r="D93" t="s">
        <v>1014</v>
      </c>
      <c r="E93" t="s">
        <v>1021</v>
      </c>
      <c r="F93" t="s">
        <v>1055</v>
      </c>
      <c r="G93" t="s">
        <v>1313</v>
      </c>
      <c r="H93" s="13">
        <v>6892217.7999999998</v>
      </c>
      <c r="I93" s="14">
        <v>178511321.15000001</v>
      </c>
      <c r="J93" t="s">
        <v>1052</v>
      </c>
      <c r="K93" s="10">
        <v>10.312469999999999</v>
      </c>
      <c r="M93" s="10">
        <v>5.1971884905660364</v>
      </c>
      <c r="N93" s="10">
        <v>6.0123051923076982</v>
      </c>
      <c r="O93" s="10">
        <v>6.851390192307691</v>
      </c>
      <c r="P93" s="10">
        <v>7.4481073076923021</v>
      </c>
      <c r="Q93" s="10">
        <v>8.1401032692307655</v>
      </c>
      <c r="R93" s="10">
        <v>8.9146467307692365</v>
      </c>
      <c r="S93" s="10">
        <v>9.3596728301886767</v>
      </c>
      <c r="T93" s="10">
        <v>9.8278678846153849</v>
      </c>
      <c r="U93" s="10">
        <v>10.301763076923081</v>
      </c>
      <c r="V93" s="10">
        <v>10.32102230769231</v>
      </c>
      <c r="W93" s="10">
        <v>10.328537307692301</v>
      </c>
      <c r="X93" s="10">
        <v>10.32794415094339</v>
      </c>
      <c r="Y93" s="10">
        <v>10.3190931707317</v>
      </c>
      <c r="Z93" s="11">
        <f t="shared" si="1"/>
        <v>0.15853655999999999</v>
      </c>
    </row>
    <row r="94" spans="1:26" x14ac:dyDescent="0.3">
      <c r="A94" t="s">
        <v>93</v>
      </c>
      <c r="B94" t="s">
        <v>1314</v>
      </c>
      <c r="C94" t="s">
        <v>1315</v>
      </c>
      <c r="D94" t="s">
        <v>1014</v>
      </c>
      <c r="E94" t="s">
        <v>1019</v>
      </c>
      <c r="F94" t="s">
        <v>1123</v>
      </c>
      <c r="G94" t="s">
        <v>1149</v>
      </c>
      <c r="H94" s="13">
        <v>340318</v>
      </c>
      <c r="I94" s="14">
        <v>177968035.99000001</v>
      </c>
      <c r="J94" t="s">
        <v>1061</v>
      </c>
      <c r="K94" s="10">
        <v>525.92209000000003</v>
      </c>
      <c r="W94" s="10">
        <v>510.3665168888889</v>
      </c>
      <c r="X94" s="10">
        <v>524.80266075471718</v>
      </c>
      <c r="Y94" s="10">
        <v>526.30597121951223</v>
      </c>
      <c r="Z94" s="11" t="str">
        <f t="shared" si="1"/>
        <v/>
      </c>
    </row>
    <row r="95" spans="1:26" x14ac:dyDescent="0.3">
      <c r="A95" t="s">
        <v>94</v>
      </c>
      <c r="B95" t="s">
        <v>1316</v>
      </c>
      <c r="C95" t="s">
        <v>1080</v>
      </c>
      <c r="D95" t="s">
        <v>1014</v>
      </c>
      <c r="E95" t="s">
        <v>1019</v>
      </c>
      <c r="F95" t="s">
        <v>1081</v>
      </c>
      <c r="G95" t="s">
        <v>1082</v>
      </c>
      <c r="H95" s="13">
        <v>8927602.5</v>
      </c>
      <c r="I95" s="14">
        <v>174970512.08000001</v>
      </c>
      <c r="J95" t="s">
        <v>1052</v>
      </c>
      <c r="K95" s="10">
        <v>11.1897</v>
      </c>
      <c r="N95" s="10">
        <v>11.02634865384616</v>
      </c>
      <c r="O95" s="10">
        <v>12.30024730769231</v>
      </c>
      <c r="P95" s="10">
        <v>13.796170576923069</v>
      </c>
      <c r="Q95" s="10">
        <v>14.90310576923077</v>
      </c>
      <c r="R95" s="10">
        <v>15.7558976923077</v>
      </c>
      <c r="S95" s="10">
        <v>16.67956018867924</v>
      </c>
      <c r="T95" s="10">
        <v>17.52648403846154</v>
      </c>
      <c r="U95" s="10">
        <v>18.208534230769221</v>
      </c>
      <c r="V95" s="10">
        <v>18.965958076923069</v>
      </c>
      <c r="W95" s="10">
        <v>19.541654999999981</v>
      </c>
      <c r="X95" s="10">
        <v>20.117547735849051</v>
      </c>
      <c r="Y95" s="10">
        <v>11.19403707317074</v>
      </c>
      <c r="Z95" s="11">
        <f t="shared" si="1"/>
        <v>0.27682649999999998</v>
      </c>
    </row>
    <row r="96" spans="1:26" x14ac:dyDescent="0.3">
      <c r="A96" t="s">
        <v>95</v>
      </c>
      <c r="B96" t="s">
        <v>1317</v>
      </c>
      <c r="C96" t="s">
        <v>1318</v>
      </c>
      <c r="D96" t="s">
        <v>1014</v>
      </c>
      <c r="E96" t="s">
        <v>1025</v>
      </c>
      <c r="F96" t="s">
        <v>1074</v>
      </c>
      <c r="G96" t="s">
        <v>1319</v>
      </c>
      <c r="H96" s="13">
        <v>119907.766</v>
      </c>
      <c r="I96" s="14">
        <v>172200555.44999999</v>
      </c>
      <c r="J96" t="s">
        <v>1061</v>
      </c>
      <c r="K96" s="10">
        <v>1471.0864200000001</v>
      </c>
      <c r="Q96" s="10">
        <v>996.77851999999996</v>
      </c>
      <c r="R96" s="10">
        <v>1060.1731694230771</v>
      </c>
      <c r="S96" s="10">
        <v>1128.079955849056</v>
      </c>
      <c r="T96" s="10">
        <v>1176.823541538462</v>
      </c>
      <c r="U96" s="10">
        <v>1229.4805396153829</v>
      </c>
      <c r="V96" s="10">
        <v>1302.909702884617</v>
      </c>
      <c r="W96" s="10">
        <v>1381.1174844230759</v>
      </c>
      <c r="X96" s="10">
        <v>1441.0000232075481</v>
      </c>
      <c r="Y96" s="10">
        <v>1469.951328292683</v>
      </c>
      <c r="Z96" s="11">
        <f t="shared" si="1"/>
        <v>0.35921193000000001</v>
      </c>
    </row>
    <row r="97" spans="1:26" x14ac:dyDescent="0.3">
      <c r="A97" t="s">
        <v>96</v>
      </c>
      <c r="B97" t="s">
        <v>1320</v>
      </c>
      <c r="C97" t="s">
        <v>1049</v>
      </c>
      <c r="D97" t="s">
        <v>1014</v>
      </c>
      <c r="E97" t="s">
        <v>1023</v>
      </c>
      <c r="F97" t="s">
        <v>1050</v>
      </c>
      <c r="G97" t="s">
        <v>1051</v>
      </c>
      <c r="H97" s="13">
        <v>1250346</v>
      </c>
      <c r="I97" s="14">
        <v>169568623.66999999</v>
      </c>
      <c r="J97" t="s">
        <v>1052</v>
      </c>
      <c r="K97" s="10">
        <v>136.72839999999999</v>
      </c>
      <c r="T97" s="10">
        <v>109.50171</v>
      </c>
      <c r="U97" s="10">
        <v>115.52132384615381</v>
      </c>
      <c r="V97" s="10">
        <v>122.5551251923076</v>
      </c>
      <c r="W97" s="10">
        <v>128.83372384615379</v>
      </c>
      <c r="X97" s="10">
        <v>136.29838660377351</v>
      </c>
      <c r="Y97" s="10">
        <v>136.73236414634141</v>
      </c>
      <c r="Z97" s="11" t="str">
        <f t="shared" si="1"/>
        <v/>
      </c>
    </row>
    <row r="98" spans="1:26" x14ac:dyDescent="0.3">
      <c r="A98" t="s">
        <v>97</v>
      </c>
      <c r="B98" t="s">
        <v>1321</v>
      </c>
      <c r="C98" t="s">
        <v>1322</v>
      </c>
      <c r="D98" t="s">
        <v>1015</v>
      </c>
      <c r="E98" t="s">
        <v>1019</v>
      </c>
      <c r="F98" t="s">
        <v>1123</v>
      </c>
      <c r="G98" t="s">
        <v>1323</v>
      </c>
      <c r="H98" s="13">
        <v>16077031.15</v>
      </c>
      <c r="I98" s="14">
        <v>168536837.05000001</v>
      </c>
      <c r="J98" t="s">
        <v>1061</v>
      </c>
      <c r="K98" s="10">
        <v>10.19333</v>
      </c>
      <c r="S98" s="10">
        <v>16.95457</v>
      </c>
      <c r="T98" s="10">
        <v>16.965746153846151</v>
      </c>
      <c r="U98" s="10">
        <v>10.309968846153851</v>
      </c>
      <c r="V98" s="10">
        <v>10.18473461538461</v>
      </c>
      <c r="W98" s="10">
        <v>10.19911942307693</v>
      </c>
      <c r="X98" s="10">
        <v>10.19572679245282</v>
      </c>
      <c r="Y98" s="10">
        <v>10.19990951219512</v>
      </c>
      <c r="Z98" s="11" t="str">
        <f t="shared" si="1"/>
        <v/>
      </c>
    </row>
    <row r="99" spans="1:26" x14ac:dyDescent="0.3">
      <c r="A99" t="s">
        <v>98</v>
      </c>
      <c r="B99" t="s">
        <v>1324</v>
      </c>
      <c r="C99" t="s">
        <v>1325</v>
      </c>
      <c r="D99" t="s">
        <v>1014</v>
      </c>
      <c r="E99" t="s">
        <v>1018</v>
      </c>
      <c r="F99" t="s">
        <v>1074</v>
      </c>
      <c r="G99" t="s">
        <v>1075</v>
      </c>
      <c r="H99" s="13">
        <v>17093509.5</v>
      </c>
      <c r="I99" s="14">
        <v>167628446.91999999</v>
      </c>
      <c r="J99" t="s">
        <v>1052</v>
      </c>
      <c r="K99" s="10">
        <v>5.5128199999999996</v>
      </c>
      <c r="M99" s="10">
        <v>4.6335469811320786</v>
      </c>
      <c r="N99" s="10">
        <v>5.1824326923076907</v>
      </c>
      <c r="O99" s="10">
        <v>5.6742234615384612</v>
      </c>
      <c r="P99" s="10">
        <v>6.2087223076923088</v>
      </c>
      <c r="Q99" s="10">
        <v>6.6920490384615352</v>
      </c>
      <c r="R99" s="10">
        <v>7.0983475000000027</v>
      </c>
      <c r="S99" s="10">
        <v>7.520532075471694</v>
      </c>
      <c r="T99" s="10">
        <v>7.9692196153846133</v>
      </c>
      <c r="U99" s="10">
        <v>8.4580646153846182</v>
      </c>
      <c r="V99" s="10">
        <v>8.9625567307692382</v>
      </c>
      <c r="W99" s="10">
        <v>9.4954880769230705</v>
      </c>
      <c r="X99" s="10">
        <v>9.6874696226415082</v>
      </c>
      <c r="Y99" s="10">
        <v>5.6208585365853638</v>
      </c>
      <c r="Z99" s="11">
        <f t="shared" si="1"/>
        <v>0.36474997999999997</v>
      </c>
    </row>
    <row r="100" spans="1:26" x14ac:dyDescent="0.3">
      <c r="A100" t="s">
        <v>99</v>
      </c>
      <c r="B100" t="s">
        <v>1326</v>
      </c>
      <c r="C100" t="s">
        <v>1327</v>
      </c>
      <c r="D100" t="s">
        <v>1014</v>
      </c>
      <c r="E100" t="s">
        <v>1027</v>
      </c>
      <c r="F100" t="s">
        <v>1270</v>
      </c>
      <c r="G100" t="s">
        <v>1271</v>
      </c>
      <c r="H100" s="13">
        <v>13081405</v>
      </c>
      <c r="I100" s="14">
        <v>165151005.56</v>
      </c>
      <c r="J100" t="s">
        <v>1052</v>
      </c>
      <c r="K100" s="10">
        <v>12.34718</v>
      </c>
      <c r="M100" s="10">
        <v>6.4297664150943357</v>
      </c>
      <c r="N100" s="10">
        <v>7.1500003846153906</v>
      </c>
      <c r="O100" s="10">
        <v>8.0132444230769213</v>
      </c>
      <c r="P100" s="10">
        <v>8.6589021153846204</v>
      </c>
      <c r="Q100" s="10">
        <v>9.416504423076919</v>
      </c>
      <c r="R100" s="10">
        <v>9.6362373076923085</v>
      </c>
      <c r="S100" s="10">
        <v>10.18324301886793</v>
      </c>
      <c r="T100" s="10">
        <v>10.69593673076923</v>
      </c>
      <c r="U100" s="10">
        <v>11.244443461538451</v>
      </c>
      <c r="V100" s="10">
        <v>11.801725192307689</v>
      </c>
      <c r="W100" s="10">
        <v>12.393872115384619</v>
      </c>
      <c r="X100" s="10">
        <v>12.381290566037739</v>
      </c>
      <c r="Y100" s="10">
        <v>12.3542456097561</v>
      </c>
      <c r="Z100" s="11">
        <f t="shared" si="1"/>
        <v>0.28486774999999998</v>
      </c>
    </row>
    <row r="101" spans="1:26" x14ac:dyDescent="0.3">
      <c r="A101" t="s">
        <v>100</v>
      </c>
      <c r="B101" t="s">
        <v>1328</v>
      </c>
      <c r="C101" t="s">
        <v>1329</v>
      </c>
      <c r="D101" t="s">
        <v>1014</v>
      </c>
      <c r="E101" t="s">
        <v>1027</v>
      </c>
      <c r="F101" t="s">
        <v>1131</v>
      </c>
      <c r="G101" t="s">
        <v>1330</v>
      </c>
      <c r="H101" s="13">
        <v>3396247</v>
      </c>
      <c r="I101" s="14">
        <v>165148522.28</v>
      </c>
      <c r="J101" t="s">
        <v>1052</v>
      </c>
      <c r="K101" s="10">
        <v>49.559690000000003</v>
      </c>
      <c r="O101" s="10">
        <v>29.313346153846151</v>
      </c>
      <c r="P101" s="10">
        <v>31.64383903846155</v>
      </c>
      <c r="Q101" s="10">
        <v>34.565571538461533</v>
      </c>
      <c r="R101" s="10">
        <v>36.77218730769232</v>
      </c>
      <c r="S101" s="10">
        <v>37.26686849056604</v>
      </c>
      <c r="T101" s="10">
        <v>39.717637692307697</v>
      </c>
      <c r="U101" s="10">
        <v>42.427188269230747</v>
      </c>
      <c r="V101" s="10">
        <v>45.191884423076942</v>
      </c>
      <c r="W101" s="10">
        <v>46.964389615384633</v>
      </c>
      <c r="X101" s="10">
        <v>48.351341320754713</v>
      </c>
      <c r="Y101" s="10">
        <v>49.56795780487807</v>
      </c>
      <c r="Z101" s="11">
        <f t="shared" si="1"/>
        <v>0.31488891000000002</v>
      </c>
    </row>
    <row r="102" spans="1:26" x14ac:dyDescent="0.3">
      <c r="A102" t="s">
        <v>101</v>
      </c>
      <c r="B102" t="s">
        <v>1331</v>
      </c>
      <c r="C102" t="s">
        <v>1332</v>
      </c>
      <c r="D102" t="s">
        <v>1014</v>
      </c>
      <c r="E102" t="s">
        <v>1032</v>
      </c>
      <c r="F102" t="s">
        <v>1081</v>
      </c>
      <c r="G102" t="s">
        <v>1333</v>
      </c>
      <c r="H102" s="13">
        <v>1497737.0049999999</v>
      </c>
      <c r="I102" s="14">
        <v>164688842.47</v>
      </c>
      <c r="J102" t="s">
        <v>1163</v>
      </c>
      <c r="K102" s="10">
        <v>126.12032000000001</v>
      </c>
      <c r="N102" s="10">
        <v>75.302334130434744</v>
      </c>
      <c r="O102" s="10">
        <v>80.842933653846188</v>
      </c>
      <c r="P102" s="10">
        <v>88.431025384615396</v>
      </c>
      <c r="Q102" s="10">
        <v>95.272882115384604</v>
      </c>
      <c r="R102" s="10">
        <v>102.88929096153851</v>
      </c>
      <c r="S102" s="10">
        <v>109.07036716981131</v>
      </c>
      <c r="T102" s="10">
        <v>114.568421923077</v>
      </c>
      <c r="U102" s="10">
        <v>118.9658046153847</v>
      </c>
      <c r="V102" s="10">
        <v>122.62458788461529</v>
      </c>
      <c r="W102" s="10">
        <v>126.2293734615384</v>
      </c>
      <c r="X102" s="10">
        <v>126.2770292452829</v>
      </c>
      <c r="Y102" s="10">
        <v>126.14336219512199</v>
      </c>
      <c r="Z102" s="11">
        <f t="shared" si="1"/>
        <v>0.22730974000000001</v>
      </c>
    </row>
    <row r="103" spans="1:26" x14ac:dyDescent="0.3">
      <c r="A103" t="s">
        <v>102</v>
      </c>
      <c r="B103" t="s">
        <v>1334</v>
      </c>
      <c r="C103" t="s">
        <v>1335</v>
      </c>
      <c r="D103" t="s">
        <v>1014</v>
      </c>
      <c r="E103" t="s">
        <v>1028</v>
      </c>
      <c r="F103" t="s">
        <v>1096</v>
      </c>
      <c r="G103" t="s">
        <v>1290</v>
      </c>
      <c r="H103" s="13">
        <v>458693</v>
      </c>
      <c r="I103" s="14">
        <v>162561766.00999999</v>
      </c>
      <c r="J103" t="s">
        <v>1052</v>
      </c>
      <c r="K103" s="10">
        <v>346.94686000000002</v>
      </c>
      <c r="Y103" s="10">
        <v>347.11374268292678</v>
      </c>
      <c r="Z103" s="11" t="str">
        <f t="shared" si="1"/>
        <v/>
      </c>
    </row>
    <row r="104" spans="1:26" x14ac:dyDescent="0.3">
      <c r="A104" t="s">
        <v>103</v>
      </c>
      <c r="B104" t="s">
        <v>1336</v>
      </c>
      <c r="C104" t="s">
        <v>1337</v>
      </c>
      <c r="D104" t="s">
        <v>1014</v>
      </c>
      <c r="E104" t="s">
        <v>1025</v>
      </c>
      <c r="F104" t="s">
        <v>1096</v>
      </c>
      <c r="G104" t="s">
        <v>1097</v>
      </c>
      <c r="H104" s="13">
        <v>21810</v>
      </c>
      <c r="I104" s="14">
        <v>160722992.83000001</v>
      </c>
      <c r="J104" t="s">
        <v>1061</v>
      </c>
      <c r="K104" s="10">
        <v>7858.4754499999999</v>
      </c>
      <c r="W104" s="10">
        <v>7204.7290121875012</v>
      </c>
      <c r="X104" s="10">
        <v>7376.6604488679232</v>
      </c>
      <c r="Y104" s="10">
        <v>7854.3308624390256</v>
      </c>
      <c r="Z104" s="11" t="str">
        <f t="shared" si="1"/>
        <v/>
      </c>
    </row>
    <row r="105" spans="1:26" x14ac:dyDescent="0.3">
      <c r="A105" t="s">
        <v>104</v>
      </c>
      <c r="B105" t="s">
        <v>1338</v>
      </c>
      <c r="C105" t="s">
        <v>1339</v>
      </c>
      <c r="D105" t="s">
        <v>1014</v>
      </c>
      <c r="E105" t="s">
        <v>1028</v>
      </c>
      <c r="F105" t="s">
        <v>1340</v>
      </c>
      <c r="G105" t="s">
        <v>1341</v>
      </c>
      <c r="H105" s="13">
        <v>4745070</v>
      </c>
      <c r="I105" s="14">
        <v>159501244.66</v>
      </c>
      <c r="J105" t="s">
        <v>1163</v>
      </c>
      <c r="K105" s="10">
        <v>34.01191</v>
      </c>
      <c r="U105" s="10">
        <v>31.235800000000008</v>
      </c>
      <c r="V105" s="10">
        <v>32.129030769230809</v>
      </c>
      <c r="W105" s="10">
        <v>32.8093528846154</v>
      </c>
      <c r="X105" s="10">
        <v>33.516173207547197</v>
      </c>
      <c r="Y105" s="10">
        <v>34.054538780487803</v>
      </c>
      <c r="Z105" s="11" t="str">
        <f t="shared" si="1"/>
        <v/>
      </c>
    </row>
    <row r="106" spans="1:26" x14ac:dyDescent="0.3">
      <c r="A106" t="s">
        <v>105</v>
      </c>
      <c r="B106" t="s">
        <v>1342</v>
      </c>
      <c r="C106" t="s">
        <v>1343</v>
      </c>
      <c r="D106" t="s">
        <v>1014</v>
      </c>
      <c r="E106" t="s">
        <v>1019</v>
      </c>
      <c r="F106" t="s">
        <v>1123</v>
      </c>
      <c r="G106" t="s">
        <v>1188</v>
      </c>
      <c r="H106" s="13">
        <v>304857.5</v>
      </c>
      <c r="I106" s="14">
        <v>158605362.38999999</v>
      </c>
      <c r="J106" t="s">
        <v>1061</v>
      </c>
      <c r="K106" s="10">
        <v>538.52517999999998</v>
      </c>
      <c r="V106" s="10">
        <v>491.64159538461558</v>
      </c>
      <c r="W106" s="10">
        <v>515.20282711538482</v>
      </c>
      <c r="X106" s="10">
        <v>521.97115679245303</v>
      </c>
      <c r="Y106" s="10">
        <v>538.14231048780482</v>
      </c>
      <c r="Z106" s="11" t="str">
        <f t="shared" si="1"/>
        <v/>
      </c>
    </row>
    <row r="107" spans="1:26" x14ac:dyDescent="0.3">
      <c r="A107" t="s">
        <v>106</v>
      </c>
      <c r="B107" t="s">
        <v>1344</v>
      </c>
      <c r="C107" t="s">
        <v>1345</v>
      </c>
      <c r="D107" t="s">
        <v>1014</v>
      </c>
      <c r="E107" t="s">
        <v>1027</v>
      </c>
      <c r="F107" t="s">
        <v>1270</v>
      </c>
      <c r="G107" t="s">
        <v>1271</v>
      </c>
      <c r="H107" s="13">
        <v>12519512.392000001</v>
      </c>
      <c r="I107" s="14">
        <v>158253208.22</v>
      </c>
      <c r="J107" t="s">
        <v>1052</v>
      </c>
      <c r="K107" s="10">
        <v>12.34801</v>
      </c>
      <c r="M107" s="10">
        <v>6.5388860377358498</v>
      </c>
      <c r="N107" s="10">
        <v>7.1207505769230739</v>
      </c>
      <c r="O107" s="10">
        <v>7.9765392307692347</v>
      </c>
      <c r="P107" s="10">
        <v>8.6580623076923029</v>
      </c>
      <c r="Q107" s="10">
        <v>9.4245363461538396</v>
      </c>
      <c r="R107" s="10">
        <v>9.6407123076923078</v>
      </c>
      <c r="S107" s="10">
        <v>10.19097339622641</v>
      </c>
      <c r="T107" s="10">
        <v>10.69551019230769</v>
      </c>
      <c r="U107" s="10">
        <v>11.229127500000001</v>
      </c>
      <c r="V107" s="10">
        <v>11.78954634615385</v>
      </c>
      <c r="W107" s="10">
        <v>12.388470961538459</v>
      </c>
      <c r="X107" s="10">
        <v>12.373404150943401</v>
      </c>
      <c r="Y107" s="10">
        <v>12.35063756097561</v>
      </c>
      <c r="Z107" s="11">
        <f t="shared" si="1"/>
        <v>0.28345331000000001</v>
      </c>
    </row>
    <row r="108" spans="1:26" x14ac:dyDescent="0.3">
      <c r="A108" t="s">
        <v>107</v>
      </c>
      <c r="B108" t="s">
        <v>1346</v>
      </c>
      <c r="C108" t="s">
        <v>1347</v>
      </c>
      <c r="D108" t="s">
        <v>1014</v>
      </c>
      <c r="E108" t="s">
        <v>1027</v>
      </c>
      <c r="F108" t="s">
        <v>1181</v>
      </c>
      <c r="G108" t="s">
        <v>1348</v>
      </c>
      <c r="H108" s="13">
        <v>169171.83900000001</v>
      </c>
      <c r="I108" s="14">
        <v>158134098.77000001</v>
      </c>
      <c r="J108" t="s">
        <v>1061</v>
      </c>
      <c r="K108" s="10">
        <v>1004.17967</v>
      </c>
      <c r="O108" s="10">
        <v>657.43618000000015</v>
      </c>
      <c r="P108" s="10">
        <v>675.47588711538458</v>
      </c>
      <c r="Q108" s="10">
        <v>715.74283807692336</v>
      </c>
      <c r="R108" s="10">
        <v>771.73373692307678</v>
      </c>
      <c r="S108" s="10">
        <v>807.48780754716972</v>
      </c>
      <c r="T108" s="10">
        <v>838.34831999999915</v>
      </c>
      <c r="U108" s="10">
        <v>863.68937230769245</v>
      </c>
      <c r="V108" s="10">
        <v>896.65088692307734</v>
      </c>
      <c r="W108" s="10">
        <v>919.09277615384588</v>
      </c>
      <c r="X108" s="10">
        <v>942.69151056603744</v>
      </c>
      <c r="Y108" s="10">
        <v>999.32793000000015</v>
      </c>
      <c r="Z108" s="11">
        <f t="shared" si="1"/>
        <v>0.22152430000000001</v>
      </c>
    </row>
    <row r="109" spans="1:26" x14ac:dyDescent="0.3">
      <c r="A109" t="s">
        <v>108</v>
      </c>
      <c r="B109" t="s">
        <v>1349</v>
      </c>
      <c r="C109" t="s">
        <v>1350</v>
      </c>
      <c r="D109" t="s">
        <v>1014</v>
      </c>
      <c r="E109" t="s">
        <v>1025</v>
      </c>
      <c r="F109" t="s">
        <v>1241</v>
      </c>
      <c r="G109" t="s">
        <v>1351</v>
      </c>
      <c r="H109" s="13">
        <v>26686.576000000001</v>
      </c>
      <c r="I109" s="14">
        <v>151960520.78999999</v>
      </c>
      <c r="J109" t="s">
        <v>1052</v>
      </c>
      <c r="K109" s="10">
        <v>6094.0249999999996</v>
      </c>
      <c r="M109" s="10">
        <v>2681.5882543396219</v>
      </c>
      <c r="N109" s="10">
        <v>2927.2988890384631</v>
      </c>
      <c r="O109" s="10">
        <v>3312.2058940384618</v>
      </c>
      <c r="P109" s="10">
        <v>3628.0731292307692</v>
      </c>
      <c r="Q109" s="10">
        <v>3918.7954026923048</v>
      </c>
      <c r="R109" s="10">
        <v>4192.1034311538479</v>
      </c>
      <c r="S109" s="10">
        <v>4476.5774416981139</v>
      </c>
      <c r="T109" s="10">
        <v>4689.7782615384649</v>
      </c>
      <c r="U109" s="10">
        <v>4944.3173634615432</v>
      </c>
      <c r="V109" s="10">
        <v>5230.2345626923134</v>
      </c>
      <c r="W109" s="10">
        <v>5539.5597742307691</v>
      </c>
      <c r="X109" s="10">
        <v>5805.3505445283045</v>
      </c>
      <c r="Y109" s="10">
        <v>6100.8146646341493</v>
      </c>
      <c r="Z109" s="11">
        <f t="shared" si="1"/>
        <v>0.38482999000000001</v>
      </c>
    </row>
    <row r="110" spans="1:26" x14ac:dyDescent="0.3">
      <c r="A110" t="s">
        <v>109</v>
      </c>
      <c r="B110" t="s">
        <v>1352</v>
      </c>
      <c r="C110" t="s">
        <v>1353</v>
      </c>
      <c r="D110" t="s">
        <v>1014</v>
      </c>
      <c r="E110" t="s">
        <v>1027</v>
      </c>
      <c r="F110" t="s">
        <v>1131</v>
      </c>
      <c r="G110" t="s">
        <v>1330</v>
      </c>
      <c r="H110" s="13">
        <v>3117266.5</v>
      </c>
      <c r="I110" s="14">
        <v>151541348.44</v>
      </c>
      <c r="J110" t="s">
        <v>1052</v>
      </c>
      <c r="K110" s="10">
        <v>49.52525</v>
      </c>
      <c r="O110" s="10">
        <v>29.503366538461531</v>
      </c>
      <c r="P110" s="10">
        <v>31.68508134615384</v>
      </c>
      <c r="Q110" s="10">
        <v>34.546457115384641</v>
      </c>
      <c r="R110" s="10">
        <v>36.853173461538447</v>
      </c>
      <c r="S110" s="10">
        <v>37.261978679245281</v>
      </c>
      <c r="T110" s="10">
        <v>39.726427115384602</v>
      </c>
      <c r="U110" s="10">
        <v>42.481614615384629</v>
      </c>
      <c r="V110" s="10">
        <v>45.227572884615363</v>
      </c>
      <c r="W110" s="10">
        <v>46.92540807692307</v>
      </c>
      <c r="X110" s="10">
        <v>48.313214905660402</v>
      </c>
      <c r="Y110" s="10">
        <v>49.551081219512199</v>
      </c>
      <c r="Z110" s="11">
        <f t="shared" si="1"/>
        <v>0.31096485000000001</v>
      </c>
    </row>
    <row r="111" spans="1:26" x14ac:dyDescent="0.3">
      <c r="A111" t="s">
        <v>110</v>
      </c>
      <c r="B111" t="s">
        <v>1354</v>
      </c>
      <c r="C111" t="s">
        <v>1355</v>
      </c>
      <c r="D111" t="s">
        <v>1014</v>
      </c>
      <c r="E111" t="s">
        <v>1019</v>
      </c>
      <c r="F111" t="s">
        <v>1106</v>
      </c>
      <c r="G111" t="s">
        <v>1107</v>
      </c>
      <c r="H111" s="13">
        <v>7753608</v>
      </c>
      <c r="I111" s="14">
        <v>149332982.71000001</v>
      </c>
      <c r="J111" t="s">
        <v>1052</v>
      </c>
      <c r="K111" s="10">
        <v>12.07577</v>
      </c>
      <c r="N111" s="10">
        <v>11.17248097560975</v>
      </c>
      <c r="O111" s="10">
        <v>12.33953249999999</v>
      </c>
      <c r="P111" s="10">
        <v>13.74160076923077</v>
      </c>
      <c r="Q111" s="10">
        <v>14.85057153846155</v>
      </c>
      <c r="R111" s="10">
        <v>15.747393461538451</v>
      </c>
      <c r="S111" s="10">
        <v>16.35781679245283</v>
      </c>
      <c r="T111" s="10">
        <v>17.034973846153839</v>
      </c>
      <c r="U111" s="10">
        <v>17.550570769230792</v>
      </c>
      <c r="V111" s="10">
        <v>18.074403653846151</v>
      </c>
      <c r="W111" s="10">
        <v>18.612594999999999</v>
      </c>
      <c r="X111" s="10">
        <v>19.151347358490561</v>
      </c>
      <c r="Y111" s="10">
        <v>12.24713609756097</v>
      </c>
      <c r="Z111" s="11">
        <f t="shared" si="1"/>
        <v>0.21615983</v>
      </c>
    </row>
    <row r="112" spans="1:26" x14ac:dyDescent="0.3">
      <c r="A112" t="s">
        <v>111</v>
      </c>
      <c r="B112" t="s">
        <v>1356</v>
      </c>
      <c r="C112" t="s">
        <v>1357</v>
      </c>
      <c r="D112" t="s">
        <v>1014</v>
      </c>
      <c r="E112" t="s">
        <v>1018</v>
      </c>
      <c r="F112" t="s">
        <v>1096</v>
      </c>
      <c r="G112" t="s">
        <v>1253</v>
      </c>
      <c r="H112" s="13">
        <v>13166737.298</v>
      </c>
      <c r="I112" s="14">
        <v>147742847.12</v>
      </c>
      <c r="J112" t="s">
        <v>1052</v>
      </c>
      <c r="K112" s="10">
        <v>11.560589999999999</v>
      </c>
      <c r="O112" s="10">
        <v>6.264033846153847</v>
      </c>
      <c r="P112" s="10">
        <v>6.6988288461538454</v>
      </c>
      <c r="Q112" s="10">
        <v>7.399907307692307</v>
      </c>
      <c r="R112" s="10">
        <v>8.1096082692307672</v>
      </c>
      <c r="S112" s="10">
        <v>8.6903524528301865</v>
      </c>
      <c r="T112" s="10">
        <v>9.3066807692307645</v>
      </c>
      <c r="U112" s="10">
        <v>10.04841711538462</v>
      </c>
      <c r="V112" s="10">
        <v>10.672942692307689</v>
      </c>
      <c r="W112" s="10">
        <v>10.98967461538461</v>
      </c>
      <c r="X112" s="10">
        <v>11.25410943396227</v>
      </c>
      <c r="Y112" s="10">
        <v>11.569823414634151</v>
      </c>
      <c r="Z112" s="11">
        <f t="shared" si="1"/>
        <v>0.38775007</v>
      </c>
    </row>
    <row r="113" spans="1:26" x14ac:dyDescent="0.3">
      <c r="A113" t="s">
        <v>112</v>
      </c>
      <c r="B113" t="s">
        <v>1358</v>
      </c>
      <c r="C113" t="s">
        <v>1359</v>
      </c>
      <c r="D113" t="s">
        <v>1014</v>
      </c>
      <c r="E113" t="s">
        <v>1027</v>
      </c>
      <c r="F113" t="s">
        <v>1131</v>
      </c>
      <c r="G113" t="s">
        <v>1360</v>
      </c>
      <c r="H113" s="13">
        <v>84560.217999999993</v>
      </c>
      <c r="I113" s="14">
        <v>145517911.19</v>
      </c>
      <c r="J113" t="s">
        <v>1061</v>
      </c>
      <c r="K113" s="10">
        <v>1782.92743</v>
      </c>
      <c r="W113" s="10">
        <v>1677.67335972973</v>
      </c>
      <c r="X113" s="10">
        <v>1730.3356520754719</v>
      </c>
      <c r="Y113" s="10">
        <v>1782.705378780488</v>
      </c>
      <c r="Z113" s="11" t="str">
        <f t="shared" si="1"/>
        <v/>
      </c>
    </row>
    <row r="114" spans="1:26" x14ac:dyDescent="0.3">
      <c r="A114" t="s">
        <v>113</v>
      </c>
      <c r="B114" t="s">
        <v>1361</v>
      </c>
      <c r="C114" t="s">
        <v>1362</v>
      </c>
      <c r="D114" t="s">
        <v>1015</v>
      </c>
      <c r="E114" t="s">
        <v>1032</v>
      </c>
      <c r="F114" t="s">
        <v>1363</v>
      </c>
      <c r="G114" t="s">
        <v>1364</v>
      </c>
      <c r="H114" s="13">
        <v>9184808.5999999996</v>
      </c>
      <c r="I114" s="14">
        <v>144846655.72999999</v>
      </c>
      <c r="J114" t="s">
        <v>1163</v>
      </c>
      <c r="K114" s="10">
        <v>13.59154</v>
      </c>
      <c r="U114" s="10">
        <v>13.862342</v>
      </c>
      <c r="V114" s="10">
        <v>13.906355961538461</v>
      </c>
      <c r="W114" s="10">
        <v>13.428595769230769</v>
      </c>
      <c r="X114" s="10">
        <v>13.44984132075472</v>
      </c>
      <c r="Y114" s="10">
        <v>13.56738975609756</v>
      </c>
      <c r="Z114" s="11" t="str">
        <f t="shared" si="1"/>
        <v/>
      </c>
    </row>
    <row r="115" spans="1:26" x14ac:dyDescent="0.3">
      <c r="A115" t="s">
        <v>114</v>
      </c>
      <c r="B115" t="s">
        <v>1365</v>
      </c>
      <c r="C115" t="s">
        <v>1366</v>
      </c>
      <c r="D115" t="s">
        <v>1014</v>
      </c>
      <c r="E115" t="s">
        <v>1027</v>
      </c>
      <c r="F115" t="s">
        <v>1055</v>
      </c>
      <c r="G115" t="s">
        <v>1103</v>
      </c>
      <c r="H115" s="13">
        <v>2955021.3</v>
      </c>
      <c r="I115" s="14">
        <v>143105116.38999999</v>
      </c>
      <c r="J115" t="s">
        <v>1052</v>
      </c>
      <c r="K115" s="10">
        <v>50.775910000000003</v>
      </c>
      <c r="P115" s="10">
        <v>34.307648653846137</v>
      </c>
      <c r="Q115" s="10">
        <v>38.240489615384597</v>
      </c>
      <c r="R115" s="10">
        <v>38.302917884615383</v>
      </c>
      <c r="S115" s="10">
        <v>39.155389056603767</v>
      </c>
      <c r="T115" s="10">
        <v>40.478003653846159</v>
      </c>
      <c r="U115" s="10">
        <v>41.761254615384587</v>
      </c>
      <c r="V115" s="10">
        <v>43.923593653846169</v>
      </c>
      <c r="W115" s="10">
        <v>46.207576730769247</v>
      </c>
      <c r="X115" s="10">
        <v>48.469404339622663</v>
      </c>
      <c r="Y115" s="10">
        <v>50.794665365853668</v>
      </c>
      <c r="Z115" s="11">
        <f t="shared" si="1"/>
        <v>0.26542328999999998</v>
      </c>
    </row>
    <row r="116" spans="1:26" x14ac:dyDescent="0.3">
      <c r="A116" t="s">
        <v>115</v>
      </c>
      <c r="B116" t="s">
        <v>1367</v>
      </c>
      <c r="C116" t="s">
        <v>1368</v>
      </c>
      <c r="D116" t="s">
        <v>1014</v>
      </c>
      <c r="E116" t="s">
        <v>1022</v>
      </c>
      <c r="F116" t="s">
        <v>1055</v>
      </c>
      <c r="G116" t="s">
        <v>1245</v>
      </c>
      <c r="H116" s="13">
        <v>7873825.1119999997</v>
      </c>
      <c r="I116" s="14">
        <v>142925026.25999999</v>
      </c>
      <c r="J116" t="s">
        <v>1052</v>
      </c>
      <c r="K116" s="10">
        <v>9.0107900000000001</v>
      </c>
      <c r="P116" s="10">
        <v>11.32602</v>
      </c>
      <c r="Q116" s="10">
        <v>12.37500076923077</v>
      </c>
      <c r="R116" s="10">
        <v>13.52312326923078</v>
      </c>
      <c r="S116" s="10">
        <v>14.20269452830189</v>
      </c>
      <c r="T116" s="10">
        <v>14.9195648076923</v>
      </c>
      <c r="U116" s="10">
        <v>15.639184615384631</v>
      </c>
      <c r="V116" s="10">
        <v>16.460542499999981</v>
      </c>
      <c r="W116" s="10">
        <v>17.273788076923079</v>
      </c>
      <c r="X116" s="10">
        <v>18.12294471698112</v>
      </c>
      <c r="Y116" s="10">
        <v>9.2401246341463388</v>
      </c>
      <c r="Z116" s="11">
        <f t="shared" si="1"/>
        <v>0.34014489999999997</v>
      </c>
    </row>
    <row r="117" spans="1:26" x14ac:dyDescent="0.3">
      <c r="A117" t="s">
        <v>116</v>
      </c>
      <c r="B117" t="s">
        <v>1369</v>
      </c>
      <c r="C117" t="s">
        <v>1370</v>
      </c>
      <c r="D117" t="s">
        <v>1014</v>
      </c>
      <c r="E117" t="s">
        <v>1019</v>
      </c>
      <c r="F117" t="s">
        <v>1123</v>
      </c>
      <c r="G117" t="s">
        <v>1149</v>
      </c>
      <c r="H117" s="13">
        <v>264965</v>
      </c>
      <c r="I117" s="14">
        <v>138355751.09</v>
      </c>
      <c r="J117" t="s">
        <v>1061</v>
      </c>
      <c r="K117" s="10">
        <v>525.84865000000002</v>
      </c>
      <c r="W117" s="10">
        <v>510.86552644444481</v>
      </c>
      <c r="X117" s="10">
        <v>524.97941679245287</v>
      </c>
      <c r="Y117" s="10">
        <v>526.44151829268253</v>
      </c>
      <c r="Z117" s="11" t="str">
        <f t="shared" si="1"/>
        <v/>
      </c>
    </row>
    <row r="118" spans="1:26" x14ac:dyDescent="0.3">
      <c r="A118" t="s">
        <v>117</v>
      </c>
      <c r="B118" t="s">
        <v>1371</v>
      </c>
      <c r="C118" t="s">
        <v>1089</v>
      </c>
      <c r="D118" t="s">
        <v>1014</v>
      </c>
      <c r="E118" t="s">
        <v>1019</v>
      </c>
      <c r="F118" t="s">
        <v>1081</v>
      </c>
      <c r="G118" t="s">
        <v>1082</v>
      </c>
      <c r="H118" s="13">
        <v>6817786.5</v>
      </c>
      <c r="I118" s="14">
        <v>137953992.62</v>
      </c>
      <c r="J118" t="s">
        <v>1052</v>
      </c>
      <c r="K118" s="10">
        <v>11.18929</v>
      </c>
      <c r="N118" s="10">
        <v>10.96027807692308</v>
      </c>
      <c r="O118" s="10">
        <v>12.27245115384615</v>
      </c>
      <c r="P118" s="10">
        <v>13.77119307692308</v>
      </c>
      <c r="Q118" s="10">
        <v>14.85582326923077</v>
      </c>
      <c r="R118" s="10">
        <v>15.749534807692299</v>
      </c>
      <c r="S118" s="10">
        <v>16.680722830188682</v>
      </c>
      <c r="T118" s="10">
        <v>17.525573076923092</v>
      </c>
      <c r="U118" s="10">
        <v>18.207655769230779</v>
      </c>
      <c r="V118" s="10">
        <v>18.964373269230769</v>
      </c>
      <c r="W118" s="10">
        <v>19.541973461538468</v>
      </c>
      <c r="X118" s="10">
        <v>20.11835056603773</v>
      </c>
      <c r="Y118" s="10">
        <v>11.19383292682927</v>
      </c>
      <c r="Z118" s="11">
        <f t="shared" si="1"/>
        <v>0.27739332</v>
      </c>
    </row>
    <row r="119" spans="1:26" x14ac:dyDescent="0.3">
      <c r="A119" t="s">
        <v>118</v>
      </c>
      <c r="B119" t="s">
        <v>1372</v>
      </c>
      <c r="C119" t="s">
        <v>1373</v>
      </c>
      <c r="D119" t="s">
        <v>1014</v>
      </c>
      <c r="E119" t="s">
        <v>1020</v>
      </c>
      <c r="F119" t="s">
        <v>1114</v>
      </c>
      <c r="G119" t="s">
        <v>1374</v>
      </c>
      <c r="H119" s="13">
        <v>76068</v>
      </c>
      <c r="I119" s="14">
        <v>133947266.23</v>
      </c>
      <c r="J119" t="s">
        <v>1052</v>
      </c>
      <c r="K119" s="10">
        <v>1810.40353</v>
      </c>
      <c r="X119" s="10">
        <v>1756.926993962265</v>
      </c>
      <c r="Y119" s="10">
        <v>1810.403530000001</v>
      </c>
      <c r="Z119" s="11" t="str">
        <f t="shared" si="1"/>
        <v/>
      </c>
    </row>
    <row r="120" spans="1:26" x14ac:dyDescent="0.3">
      <c r="A120" t="s">
        <v>119</v>
      </c>
      <c r="B120" t="s">
        <v>1375</v>
      </c>
      <c r="C120" t="s">
        <v>1376</v>
      </c>
      <c r="D120" t="s">
        <v>1014</v>
      </c>
      <c r="E120" t="s">
        <v>1025</v>
      </c>
      <c r="F120" t="s">
        <v>1114</v>
      </c>
      <c r="G120" t="s">
        <v>1377</v>
      </c>
      <c r="H120" s="13">
        <v>682580.44</v>
      </c>
      <c r="I120" s="14">
        <v>133213301.15000001</v>
      </c>
      <c r="J120" t="s">
        <v>1052</v>
      </c>
      <c r="K120" s="10">
        <v>207.89618999999999</v>
      </c>
      <c r="P120" s="10">
        <v>121.80794480769229</v>
      </c>
      <c r="Q120" s="10">
        <v>132.4994025</v>
      </c>
      <c r="R120" s="10">
        <v>144.32666750000001</v>
      </c>
      <c r="S120" s="10">
        <v>152.153705471698</v>
      </c>
      <c r="T120" s="10">
        <v>159.66978403846159</v>
      </c>
      <c r="U120" s="10">
        <v>168.44163000000009</v>
      </c>
      <c r="V120" s="10">
        <v>178.54812999999999</v>
      </c>
      <c r="W120" s="10">
        <v>187.34940711538451</v>
      </c>
      <c r="X120" s="10">
        <v>196.8688405660377</v>
      </c>
      <c r="Y120" s="10">
        <v>207.78553121951211</v>
      </c>
      <c r="Z120" s="11">
        <f t="shared" si="1"/>
        <v>0.36405033999999997</v>
      </c>
    </row>
    <row r="121" spans="1:26" x14ac:dyDescent="0.3">
      <c r="A121" t="s">
        <v>120</v>
      </c>
      <c r="B121" t="s">
        <v>1378</v>
      </c>
      <c r="C121" t="s">
        <v>1379</v>
      </c>
      <c r="D121" t="s">
        <v>1015</v>
      </c>
      <c r="E121" t="s">
        <v>1032</v>
      </c>
      <c r="F121" t="s">
        <v>1363</v>
      </c>
      <c r="G121" t="s">
        <v>1364</v>
      </c>
      <c r="H121" s="13">
        <v>9895285.4759999998</v>
      </c>
      <c r="I121" s="14">
        <v>132657629.20999999</v>
      </c>
      <c r="J121" t="s">
        <v>1163</v>
      </c>
      <c r="K121" s="10">
        <v>11.8186</v>
      </c>
      <c r="U121" s="10">
        <v>11.6239805</v>
      </c>
      <c r="V121" s="10">
        <v>11.550428653846151</v>
      </c>
      <c r="W121" s="10">
        <v>11.36683423076923</v>
      </c>
      <c r="X121" s="10">
        <v>11.476277924528301</v>
      </c>
      <c r="Y121" s="10">
        <v>11.694914878048779</v>
      </c>
      <c r="Z121" s="11" t="str">
        <f t="shared" si="1"/>
        <v/>
      </c>
    </row>
    <row r="122" spans="1:26" x14ac:dyDescent="0.3">
      <c r="A122" t="s">
        <v>121</v>
      </c>
      <c r="B122" t="s">
        <v>1380</v>
      </c>
      <c r="C122" t="s">
        <v>1381</v>
      </c>
      <c r="D122" t="s">
        <v>1014</v>
      </c>
      <c r="E122" t="s">
        <v>1027</v>
      </c>
      <c r="F122" t="s">
        <v>1382</v>
      </c>
      <c r="G122" t="s">
        <v>1383</v>
      </c>
      <c r="H122" s="13">
        <v>275512.49</v>
      </c>
      <c r="I122" s="14">
        <v>132308716.93000001</v>
      </c>
      <c r="J122" t="s">
        <v>1061</v>
      </c>
      <c r="K122" s="10">
        <v>508.17066</v>
      </c>
      <c r="S122" s="10">
        <v>389.00332999999989</v>
      </c>
      <c r="T122" s="10">
        <v>407.78730250000001</v>
      </c>
      <c r="U122" s="10">
        <v>427.01863730769179</v>
      </c>
      <c r="V122" s="10">
        <v>448.37038865384631</v>
      </c>
      <c r="W122" s="10">
        <v>470.88059519230762</v>
      </c>
      <c r="X122" s="10">
        <v>483.90624132075521</v>
      </c>
      <c r="Y122" s="10">
        <v>508.10564146341471</v>
      </c>
      <c r="Z122" s="11" t="str">
        <f t="shared" si="1"/>
        <v/>
      </c>
    </row>
    <row r="123" spans="1:26" x14ac:dyDescent="0.3">
      <c r="A123" t="s">
        <v>122</v>
      </c>
      <c r="B123" t="s">
        <v>1384</v>
      </c>
      <c r="C123" t="s">
        <v>1385</v>
      </c>
      <c r="D123" t="s">
        <v>1014</v>
      </c>
      <c r="E123" t="s">
        <v>1022</v>
      </c>
      <c r="F123" t="s">
        <v>1055</v>
      </c>
      <c r="G123" t="s">
        <v>1264</v>
      </c>
      <c r="H123" s="13">
        <v>16090519</v>
      </c>
      <c r="I123" s="14">
        <v>130605432.63</v>
      </c>
      <c r="J123" t="s">
        <v>1052</v>
      </c>
      <c r="K123" s="10">
        <v>8.3417600000000007</v>
      </c>
      <c r="W123" s="10">
        <v>7.9004359459459437</v>
      </c>
      <c r="X123" s="10">
        <v>8.1426469811320743</v>
      </c>
      <c r="Y123" s="10">
        <v>8.3440680487804926</v>
      </c>
      <c r="Z123" s="11" t="str">
        <f t="shared" si="1"/>
        <v/>
      </c>
    </row>
    <row r="124" spans="1:26" x14ac:dyDescent="0.3">
      <c r="A124" t="s">
        <v>123</v>
      </c>
      <c r="B124" t="s">
        <v>1386</v>
      </c>
      <c r="C124" t="s">
        <v>1387</v>
      </c>
      <c r="D124" t="s">
        <v>1014</v>
      </c>
      <c r="E124" t="s">
        <v>1032</v>
      </c>
      <c r="F124" t="s">
        <v>1193</v>
      </c>
      <c r="G124" t="s">
        <v>1388</v>
      </c>
      <c r="H124" s="13">
        <v>16235717.467</v>
      </c>
      <c r="I124" s="14">
        <v>128300948.3</v>
      </c>
      <c r="J124" t="s">
        <v>1052</v>
      </c>
      <c r="K124" s="10">
        <v>7.7970600000000001</v>
      </c>
      <c r="M124" s="10">
        <v>4.4626400000000013</v>
      </c>
      <c r="N124" s="10">
        <v>4.7485398076923069</v>
      </c>
      <c r="O124" s="10">
        <v>5.0911453846153876</v>
      </c>
      <c r="P124" s="10">
        <v>5.6342848076923122</v>
      </c>
      <c r="Q124" s="10">
        <v>6.3509228846153842</v>
      </c>
      <c r="R124" s="10">
        <v>6.550958846153847</v>
      </c>
      <c r="S124" s="10">
        <v>6.741629245283022</v>
      </c>
      <c r="T124" s="10">
        <v>6.9403544230769221</v>
      </c>
      <c r="U124" s="10">
        <v>7.1437930769230702</v>
      </c>
      <c r="V124" s="10">
        <v>7.3685894230769184</v>
      </c>
      <c r="W124" s="10">
        <v>7.5877823076923123</v>
      </c>
      <c r="X124" s="10">
        <v>7.8108388679245264</v>
      </c>
      <c r="Y124" s="10">
        <v>7.8056631707317052</v>
      </c>
      <c r="Z124" s="11">
        <f t="shared" si="1"/>
        <v>0.19231993999999999</v>
      </c>
    </row>
    <row r="125" spans="1:26" x14ac:dyDescent="0.3">
      <c r="A125" t="s">
        <v>124</v>
      </c>
      <c r="B125" t="s">
        <v>1389</v>
      </c>
      <c r="C125" t="s">
        <v>1390</v>
      </c>
      <c r="D125" t="s">
        <v>1014</v>
      </c>
      <c r="E125" t="s">
        <v>1025</v>
      </c>
      <c r="F125" t="s">
        <v>1055</v>
      </c>
      <c r="G125" t="s">
        <v>1137</v>
      </c>
      <c r="H125" s="13">
        <v>295377.59999999998</v>
      </c>
      <c r="I125" s="14">
        <v>127743133.78</v>
      </c>
      <c r="J125" t="s">
        <v>1052</v>
      </c>
      <c r="K125" s="10">
        <v>459.6225</v>
      </c>
      <c r="W125" s="10">
        <v>415.69156468750032</v>
      </c>
      <c r="X125" s="10">
        <v>436.54889528301919</v>
      </c>
      <c r="Y125" s="10">
        <v>459.02179609756132</v>
      </c>
      <c r="Z125" s="11" t="str">
        <f t="shared" si="1"/>
        <v/>
      </c>
    </row>
    <row r="126" spans="1:26" x14ac:dyDescent="0.3">
      <c r="A126" t="s">
        <v>125</v>
      </c>
      <c r="B126" t="s">
        <v>1391</v>
      </c>
      <c r="C126" t="s">
        <v>1392</v>
      </c>
      <c r="D126" t="s">
        <v>1015</v>
      </c>
      <c r="E126" t="s">
        <v>1032</v>
      </c>
      <c r="F126" t="s">
        <v>1363</v>
      </c>
      <c r="G126" t="s">
        <v>1393</v>
      </c>
      <c r="H126" s="13">
        <v>57956002.642999999</v>
      </c>
      <c r="I126" s="14">
        <v>127338999.75</v>
      </c>
      <c r="J126" t="s">
        <v>1163</v>
      </c>
      <c r="K126" s="10">
        <v>1.82548</v>
      </c>
      <c r="R126" s="10">
        <v>1.945251951219513</v>
      </c>
      <c r="S126" s="10">
        <v>1.9148413207547179</v>
      </c>
      <c r="T126" s="10">
        <v>1.8907109615384621</v>
      </c>
      <c r="U126" s="10">
        <v>1.8554709615384619</v>
      </c>
      <c r="V126" s="10">
        <v>1.850732115384615</v>
      </c>
      <c r="W126" s="10">
        <v>1.823276153846155</v>
      </c>
      <c r="X126" s="10">
        <v>1.8267035849056601</v>
      </c>
      <c r="Y126" s="10">
        <v>1.83250243902439</v>
      </c>
      <c r="Z126" s="11">
        <f t="shared" si="1"/>
        <v>-6.0942419999999997E-2</v>
      </c>
    </row>
    <row r="127" spans="1:26" x14ac:dyDescent="0.3">
      <c r="A127" t="s">
        <v>126</v>
      </c>
      <c r="B127" t="s">
        <v>1394</v>
      </c>
      <c r="C127" t="s">
        <v>1395</v>
      </c>
      <c r="D127" t="s">
        <v>1014</v>
      </c>
      <c r="E127" t="s">
        <v>1019</v>
      </c>
      <c r="F127" t="s">
        <v>1123</v>
      </c>
      <c r="G127" t="s">
        <v>1396</v>
      </c>
      <c r="H127" s="13">
        <v>5914007.5499999998</v>
      </c>
      <c r="I127" s="14">
        <v>125493776.63</v>
      </c>
      <c r="J127" t="s">
        <v>1061</v>
      </c>
      <c r="K127" s="10">
        <v>20.93507</v>
      </c>
      <c r="P127" s="10">
        <v>20.17698733333334</v>
      </c>
      <c r="Q127" s="10">
        <v>20.932260769230759</v>
      </c>
      <c r="R127" s="10">
        <v>20.940749807692299</v>
      </c>
      <c r="S127" s="10">
        <v>20.932688679245281</v>
      </c>
      <c r="T127" s="10">
        <v>20.95333384615385</v>
      </c>
      <c r="U127" s="10">
        <v>20.933342884615399</v>
      </c>
      <c r="V127" s="10">
        <v>20.90525634615387</v>
      </c>
      <c r="W127" s="10">
        <v>20.93179846153846</v>
      </c>
      <c r="X127" s="10">
        <v>20.934596981132071</v>
      </c>
      <c r="Y127" s="10">
        <v>20.930029268292689</v>
      </c>
      <c r="Z127" s="11">
        <f t="shared" si="1"/>
        <v>-2.9381999999999998E-4</v>
      </c>
    </row>
    <row r="128" spans="1:26" x14ac:dyDescent="0.3">
      <c r="A128" t="s">
        <v>127</v>
      </c>
      <c r="B128" t="s">
        <v>1397</v>
      </c>
      <c r="C128" t="s">
        <v>1398</v>
      </c>
      <c r="D128" t="s">
        <v>1014</v>
      </c>
      <c r="E128" t="s">
        <v>1027</v>
      </c>
      <c r="F128" t="s">
        <v>1399</v>
      </c>
      <c r="G128" t="s">
        <v>1400</v>
      </c>
      <c r="H128" s="13">
        <v>10247796.111</v>
      </c>
      <c r="I128" s="14">
        <v>124073290.19</v>
      </c>
      <c r="J128" t="s">
        <v>1052</v>
      </c>
      <c r="K128" s="10">
        <v>12.73799</v>
      </c>
      <c r="U128" s="10">
        <v>10.10765307692307</v>
      </c>
      <c r="V128" s="10">
        <v>10.723686538461539</v>
      </c>
      <c r="W128" s="10">
        <v>11.369951346153851</v>
      </c>
      <c r="X128" s="10">
        <v>12.04732339622641</v>
      </c>
      <c r="Y128" s="10">
        <v>12.74736317073171</v>
      </c>
      <c r="Z128" s="11" t="str">
        <f t="shared" si="1"/>
        <v/>
      </c>
    </row>
    <row r="129" spans="1:26" x14ac:dyDescent="0.3">
      <c r="A129" t="s">
        <v>128</v>
      </c>
      <c r="B129" t="s">
        <v>1401</v>
      </c>
      <c r="C129" t="s">
        <v>1402</v>
      </c>
      <c r="D129" t="s">
        <v>1014</v>
      </c>
      <c r="E129" t="s">
        <v>1027</v>
      </c>
      <c r="F129" t="s">
        <v>1241</v>
      </c>
      <c r="G129" t="s">
        <v>1403</v>
      </c>
      <c r="H129" s="13">
        <v>5284358</v>
      </c>
      <c r="I129" s="14">
        <v>123804734.22</v>
      </c>
      <c r="J129" t="s">
        <v>1052</v>
      </c>
      <c r="K129" s="10">
        <v>24.069839999999999</v>
      </c>
      <c r="P129" s="10">
        <v>15.910170000000001</v>
      </c>
      <c r="Q129" s="10">
        <v>17.147254038461529</v>
      </c>
      <c r="R129" s="10">
        <v>18.371923461538469</v>
      </c>
      <c r="S129" s="10">
        <v>18.807480943396222</v>
      </c>
      <c r="T129" s="10">
        <v>19.36253884615385</v>
      </c>
      <c r="U129" s="10">
        <v>20.74652576923075</v>
      </c>
      <c r="V129" s="10">
        <v>21.95858346153846</v>
      </c>
      <c r="W129" s="10">
        <v>22.938024038461531</v>
      </c>
      <c r="X129" s="10">
        <v>23.480678113207539</v>
      </c>
      <c r="Y129" s="10">
        <v>24.071962926829269</v>
      </c>
      <c r="Z129" s="11">
        <f t="shared" si="1"/>
        <v>0.27807401999999998</v>
      </c>
    </row>
    <row r="130" spans="1:26" x14ac:dyDescent="0.3">
      <c r="A130" t="s">
        <v>129</v>
      </c>
      <c r="B130" t="s">
        <v>1404</v>
      </c>
      <c r="C130" t="s">
        <v>1405</v>
      </c>
      <c r="D130" t="s">
        <v>1014</v>
      </c>
      <c r="E130" t="s">
        <v>1023</v>
      </c>
      <c r="F130" t="s">
        <v>1050</v>
      </c>
      <c r="G130" t="s">
        <v>1406</v>
      </c>
      <c r="H130" s="13">
        <v>2422090</v>
      </c>
      <c r="I130" s="14">
        <v>119232736.16</v>
      </c>
      <c r="J130" t="s">
        <v>1052</v>
      </c>
      <c r="K130" s="10">
        <v>51.983840000000001</v>
      </c>
      <c r="P130" s="10">
        <v>31.952810000000021</v>
      </c>
      <c r="Q130" s="10">
        <v>34.306434423076936</v>
      </c>
      <c r="R130" s="10">
        <v>35.575225384615393</v>
      </c>
      <c r="S130" s="10">
        <v>37.646746603773572</v>
      </c>
      <c r="T130" s="10">
        <v>39.416373461538441</v>
      </c>
      <c r="U130" s="10">
        <v>41.736942692307679</v>
      </c>
      <c r="V130" s="10">
        <v>44.197136346153833</v>
      </c>
      <c r="W130" s="10">
        <v>46.412855576923072</v>
      </c>
      <c r="X130" s="10">
        <v>48.964260943396212</v>
      </c>
      <c r="Y130" s="10">
        <v>51.878469024390277</v>
      </c>
      <c r="Z130" s="11">
        <f t="shared" ref="Z130:Z193" si="2">IF(AND(ISNUMBER(INDEX($L130:$Y130,MATCH(BaseYear,p_years,0))),ISNUMBER(INDEX($L130:$Y130,MATCH(EndYear,p_years,0)))),ROUND(INDEX($L130:$Y130,MATCH(EndYear,p_years,0))/INDEX($L130:$Y130,MATCH(BaseYear,p_years,0))-1,8),"")</f>
        <v>0.37635842000000003</v>
      </c>
    </row>
    <row r="131" spans="1:26" x14ac:dyDescent="0.3">
      <c r="A131" t="s">
        <v>130</v>
      </c>
      <c r="B131" t="s">
        <v>1407</v>
      </c>
      <c r="C131" t="s">
        <v>1408</v>
      </c>
      <c r="D131" t="s">
        <v>1014</v>
      </c>
      <c r="E131" t="s">
        <v>1025</v>
      </c>
      <c r="F131" t="s">
        <v>1055</v>
      </c>
      <c r="G131" t="s">
        <v>1087</v>
      </c>
      <c r="H131" s="13">
        <v>5521.8130000000001</v>
      </c>
      <c r="I131" s="14">
        <v>116432133.42</v>
      </c>
      <c r="J131" t="s">
        <v>1061</v>
      </c>
      <c r="K131" s="10">
        <v>22887.438569999998</v>
      </c>
      <c r="U131" s="10">
        <v>17835.552000000011</v>
      </c>
      <c r="V131" s="10">
        <v>19234.95684923077</v>
      </c>
      <c r="W131" s="10">
        <v>20381.797422115371</v>
      </c>
      <c r="X131" s="10">
        <v>21532.37387415093</v>
      </c>
      <c r="Y131" s="10">
        <v>22878.11006658537</v>
      </c>
      <c r="Z131" s="11" t="str">
        <f t="shared" si="2"/>
        <v/>
      </c>
    </row>
    <row r="132" spans="1:26" x14ac:dyDescent="0.3">
      <c r="A132" t="s">
        <v>131</v>
      </c>
      <c r="B132" t="s">
        <v>1409</v>
      </c>
      <c r="C132" t="s">
        <v>1410</v>
      </c>
      <c r="D132" t="s">
        <v>1014</v>
      </c>
      <c r="E132" t="s">
        <v>1025</v>
      </c>
      <c r="F132" t="s">
        <v>1092</v>
      </c>
      <c r="G132" t="s">
        <v>1093</v>
      </c>
      <c r="H132" s="13">
        <v>60181.440000000002</v>
      </c>
      <c r="I132" s="14">
        <v>115934594.45</v>
      </c>
      <c r="J132" t="s">
        <v>1061</v>
      </c>
      <c r="K132" s="10">
        <v>2080.59222</v>
      </c>
      <c r="S132" s="10">
        <v>1346.658281132075</v>
      </c>
      <c r="T132" s="10">
        <v>1445.0371625</v>
      </c>
      <c r="U132" s="10">
        <v>1569.200326923079</v>
      </c>
      <c r="V132" s="10">
        <v>1712.797129615386</v>
      </c>
      <c r="W132" s="10">
        <v>1813.2962928846159</v>
      </c>
      <c r="X132" s="10">
        <v>1976.4342383018859</v>
      </c>
      <c r="Y132" s="10">
        <v>2078.2783173170742</v>
      </c>
      <c r="Z132" s="11" t="str">
        <f t="shared" si="2"/>
        <v/>
      </c>
    </row>
    <row r="133" spans="1:26" x14ac:dyDescent="0.3">
      <c r="A133" t="s">
        <v>132</v>
      </c>
      <c r="B133" t="s">
        <v>1411</v>
      </c>
      <c r="C133" t="s">
        <v>1412</v>
      </c>
      <c r="D133" t="s">
        <v>1014</v>
      </c>
      <c r="E133" t="s">
        <v>1025</v>
      </c>
      <c r="F133" t="s">
        <v>1055</v>
      </c>
      <c r="G133" t="s">
        <v>1056</v>
      </c>
      <c r="H133" s="13">
        <v>17096.22</v>
      </c>
      <c r="I133" s="14">
        <v>114135336.3</v>
      </c>
      <c r="J133" t="s">
        <v>1052</v>
      </c>
      <c r="K133" s="10">
        <v>6745.4279999999999</v>
      </c>
      <c r="W133" s="10">
        <v>6726.7174937837844</v>
      </c>
      <c r="X133" s="10">
        <v>6717.0838866037757</v>
      </c>
      <c r="Y133" s="10">
        <v>6745.4280000000072</v>
      </c>
      <c r="Z133" s="11" t="str">
        <f t="shared" si="2"/>
        <v/>
      </c>
    </row>
    <row r="134" spans="1:26" x14ac:dyDescent="0.3">
      <c r="A134" t="s">
        <v>133</v>
      </c>
      <c r="B134" t="s">
        <v>1413</v>
      </c>
      <c r="C134" t="s">
        <v>1414</v>
      </c>
      <c r="D134" t="s">
        <v>1014</v>
      </c>
      <c r="E134" t="s">
        <v>1018</v>
      </c>
      <c r="F134" t="s">
        <v>1096</v>
      </c>
      <c r="G134" t="s">
        <v>1253</v>
      </c>
      <c r="H134" s="13">
        <v>10134640.800000001</v>
      </c>
      <c r="I134" s="14">
        <v>113869956.77</v>
      </c>
      <c r="J134" t="s">
        <v>1052</v>
      </c>
      <c r="K134" s="10">
        <v>11.58867</v>
      </c>
      <c r="O134" s="10">
        <v>6.2198596153846157</v>
      </c>
      <c r="P134" s="10">
        <v>6.6992684615384608</v>
      </c>
      <c r="Q134" s="10">
        <v>7.4038896153846103</v>
      </c>
      <c r="R134" s="10">
        <v>8.0928630769230701</v>
      </c>
      <c r="S134" s="10">
        <v>8.685626037735851</v>
      </c>
      <c r="T134" s="10">
        <v>9.3061507692307703</v>
      </c>
      <c r="U134" s="10">
        <v>10.05687403846154</v>
      </c>
      <c r="V134" s="10">
        <v>10.68052826923077</v>
      </c>
      <c r="W134" s="10">
        <v>10.98981173076923</v>
      </c>
      <c r="X134" s="10">
        <v>11.24843075471698</v>
      </c>
      <c r="Y134" s="10">
        <v>11.586995853658539</v>
      </c>
      <c r="Z134" s="11">
        <f t="shared" si="2"/>
        <v>0.38991981999999997</v>
      </c>
    </row>
    <row r="135" spans="1:26" x14ac:dyDescent="0.3">
      <c r="A135" t="s">
        <v>134</v>
      </c>
      <c r="B135" t="s">
        <v>1415</v>
      </c>
      <c r="C135" t="s">
        <v>1416</v>
      </c>
      <c r="D135" t="s">
        <v>1014</v>
      </c>
      <c r="E135" t="s">
        <v>1027</v>
      </c>
      <c r="F135" t="s">
        <v>1068</v>
      </c>
      <c r="G135" t="s">
        <v>1197</v>
      </c>
      <c r="H135" s="13">
        <v>28865.919000000002</v>
      </c>
      <c r="I135" s="14">
        <v>111070378.45999999</v>
      </c>
      <c r="J135" t="s">
        <v>1061</v>
      </c>
      <c r="K135" s="10">
        <v>3993.6340799999998</v>
      </c>
      <c r="O135" s="10">
        <v>2370.320736969697</v>
      </c>
      <c r="P135" s="10">
        <v>2557.5091700000012</v>
      </c>
      <c r="Q135" s="10">
        <v>2748.3522536538462</v>
      </c>
      <c r="R135" s="10">
        <v>2923.8921061538472</v>
      </c>
      <c r="S135" s="10">
        <v>3079.7347752830201</v>
      </c>
      <c r="T135" s="10">
        <v>3229.3954792307668</v>
      </c>
      <c r="U135" s="10">
        <v>3405.290738846154</v>
      </c>
      <c r="V135" s="10">
        <v>3650.2957161538502</v>
      </c>
      <c r="W135" s="10">
        <v>3822.199196923078</v>
      </c>
      <c r="X135" s="10">
        <v>3907.2068998113241</v>
      </c>
      <c r="Y135" s="10">
        <v>3995.087661707315</v>
      </c>
      <c r="Z135" s="11">
        <f t="shared" si="2"/>
        <v>0.33630337999999999</v>
      </c>
    </row>
    <row r="136" spans="1:26" x14ac:dyDescent="0.3">
      <c r="A136" t="s">
        <v>135</v>
      </c>
      <c r="B136" t="s">
        <v>1417</v>
      </c>
      <c r="C136" t="s">
        <v>1418</v>
      </c>
      <c r="D136" t="s">
        <v>1014</v>
      </c>
      <c r="E136" t="s">
        <v>1027</v>
      </c>
      <c r="F136" t="s">
        <v>1419</v>
      </c>
      <c r="G136" t="s">
        <v>1420</v>
      </c>
      <c r="H136" s="13">
        <v>316923.09999999998</v>
      </c>
      <c r="I136" s="14">
        <v>110142669.91</v>
      </c>
      <c r="J136" t="s">
        <v>1052</v>
      </c>
      <c r="K136" s="10">
        <v>365.46785999999997</v>
      </c>
      <c r="X136" s="10">
        <v>350.14854965517242</v>
      </c>
      <c r="Y136" s="10">
        <v>365.74163975609758</v>
      </c>
      <c r="Z136" s="11" t="str">
        <f t="shared" si="2"/>
        <v/>
      </c>
    </row>
    <row r="137" spans="1:26" x14ac:dyDescent="0.3">
      <c r="A137" t="s">
        <v>136</v>
      </c>
      <c r="B137" t="s">
        <v>1421</v>
      </c>
      <c r="C137" t="s">
        <v>1422</v>
      </c>
      <c r="D137" t="s">
        <v>1014</v>
      </c>
      <c r="E137" t="s">
        <v>1025</v>
      </c>
      <c r="F137" t="s">
        <v>1241</v>
      </c>
      <c r="G137" t="s">
        <v>1242</v>
      </c>
      <c r="H137" s="13">
        <v>14416</v>
      </c>
      <c r="I137" s="14">
        <v>110084391.78</v>
      </c>
      <c r="J137" t="s">
        <v>1061</v>
      </c>
      <c r="K137" s="10">
        <v>8112.5852999999997</v>
      </c>
      <c r="Y137" s="10">
        <v>8102.4478536585357</v>
      </c>
      <c r="Z137" s="11" t="str">
        <f t="shared" si="2"/>
        <v/>
      </c>
    </row>
    <row r="138" spans="1:26" x14ac:dyDescent="0.3">
      <c r="A138" t="s">
        <v>137</v>
      </c>
      <c r="B138" t="s">
        <v>1423</v>
      </c>
      <c r="C138" t="s">
        <v>1424</v>
      </c>
      <c r="D138" t="s">
        <v>1014</v>
      </c>
      <c r="E138" t="s">
        <v>1032</v>
      </c>
      <c r="F138" t="s">
        <v>1193</v>
      </c>
      <c r="G138" t="s">
        <v>1425</v>
      </c>
      <c r="H138" s="13">
        <v>33791179</v>
      </c>
      <c r="I138" s="14">
        <v>109464556.95999999</v>
      </c>
      <c r="J138" t="s">
        <v>1052</v>
      </c>
      <c r="K138" s="10">
        <v>3.1227499999999999</v>
      </c>
      <c r="M138" s="10">
        <v>4.6327433962264202</v>
      </c>
      <c r="N138" s="10">
        <v>4.9756957692307733</v>
      </c>
      <c r="O138" s="10">
        <v>5.4567290384615381</v>
      </c>
      <c r="P138" s="10">
        <v>5.785919615384616</v>
      </c>
      <c r="Q138" s="10">
        <v>6.2818715384615427</v>
      </c>
      <c r="R138" s="10">
        <v>6.3013213461538449</v>
      </c>
      <c r="S138" s="10">
        <v>6.2957328301886797</v>
      </c>
      <c r="T138" s="10">
        <v>6.301218076923079</v>
      </c>
      <c r="U138" s="10">
        <v>6.3008257692307748</v>
      </c>
      <c r="V138" s="10">
        <v>6.2335874999999996</v>
      </c>
      <c r="W138" s="10">
        <v>3.1302899999999991</v>
      </c>
      <c r="X138" s="10">
        <v>3.127410754716982</v>
      </c>
      <c r="Y138" s="10">
        <v>3.1233424390243898</v>
      </c>
      <c r="Z138" s="11">
        <f t="shared" si="2"/>
        <v>-0.50368968999999997</v>
      </c>
    </row>
    <row r="139" spans="1:26" x14ac:dyDescent="0.3">
      <c r="A139" t="s">
        <v>138</v>
      </c>
      <c r="B139" t="s">
        <v>1426</v>
      </c>
      <c r="C139" t="s">
        <v>1427</v>
      </c>
      <c r="D139" t="s">
        <v>1014</v>
      </c>
      <c r="E139" t="s">
        <v>1027</v>
      </c>
      <c r="F139" t="s">
        <v>1068</v>
      </c>
      <c r="G139" t="s">
        <v>1428</v>
      </c>
      <c r="H139" s="13">
        <v>8261855.392</v>
      </c>
      <c r="I139" s="14">
        <v>109280055.64</v>
      </c>
      <c r="J139" t="s">
        <v>1052</v>
      </c>
      <c r="K139" s="10">
        <v>13.04275</v>
      </c>
      <c r="M139" s="10">
        <v>7.8044920754716971</v>
      </c>
      <c r="N139" s="10">
        <v>8.5887365384615357</v>
      </c>
      <c r="O139" s="10">
        <v>9.4137801923076996</v>
      </c>
      <c r="P139" s="10">
        <v>10.164887500000001</v>
      </c>
      <c r="Q139" s="10">
        <v>11.008044423076919</v>
      </c>
      <c r="R139" s="10">
        <v>11.682599615384619</v>
      </c>
      <c r="S139" s="10">
        <v>11.95488962264152</v>
      </c>
      <c r="T139" s="10">
        <v>12.223314999999999</v>
      </c>
      <c r="U139" s="10">
        <v>12.789021730769219</v>
      </c>
      <c r="V139" s="10">
        <v>13.05719807692309</v>
      </c>
      <c r="W139" s="10">
        <v>13.062261153846149</v>
      </c>
      <c r="X139" s="10">
        <v>13.064355471698111</v>
      </c>
      <c r="Y139" s="10">
        <v>13.04633414634146</v>
      </c>
      <c r="Z139" s="11">
        <f t="shared" si="2"/>
        <v>0.11827469</v>
      </c>
    </row>
    <row r="140" spans="1:26" x14ac:dyDescent="0.3">
      <c r="A140" t="s">
        <v>139</v>
      </c>
      <c r="B140" t="s">
        <v>1429</v>
      </c>
      <c r="C140" t="s">
        <v>1430</v>
      </c>
      <c r="D140" t="s">
        <v>1014</v>
      </c>
      <c r="E140" t="s">
        <v>1027</v>
      </c>
      <c r="F140" t="s">
        <v>1382</v>
      </c>
      <c r="G140" t="s">
        <v>1431</v>
      </c>
      <c r="H140" s="13">
        <v>902207</v>
      </c>
      <c r="I140" s="14">
        <v>107767604.94</v>
      </c>
      <c r="J140" t="s">
        <v>1052</v>
      </c>
      <c r="K140" s="10">
        <v>125.02961000000001</v>
      </c>
      <c r="S140" s="10">
        <v>92.641926792452807</v>
      </c>
      <c r="T140" s="10">
        <v>97.91660250000001</v>
      </c>
      <c r="U140" s="10">
        <v>105.8828942307693</v>
      </c>
      <c r="V140" s="10">
        <v>113.102653076923</v>
      </c>
      <c r="W140" s="10">
        <v>116.9460096153846</v>
      </c>
      <c r="X140" s="10">
        <v>119.1159381132076</v>
      </c>
      <c r="Y140" s="10">
        <v>125.2777365853658</v>
      </c>
      <c r="Z140" s="11" t="str">
        <f t="shared" si="2"/>
        <v/>
      </c>
    </row>
    <row r="141" spans="1:26" x14ac:dyDescent="0.3">
      <c r="A141" t="s">
        <v>140</v>
      </c>
      <c r="B141" t="s">
        <v>1432</v>
      </c>
      <c r="C141" t="s">
        <v>1433</v>
      </c>
      <c r="D141" t="s">
        <v>1014</v>
      </c>
      <c r="E141" t="s">
        <v>1019</v>
      </c>
      <c r="F141" t="s">
        <v>1064</v>
      </c>
      <c r="G141" t="s">
        <v>1434</v>
      </c>
      <c r="H141" s="13">
        <v>3308247</v>
      </c>
      <c r="I141" s="14">
        <v>107320645.69</v>
      </c>
      <c r="J141" t="s">
        <v>1052</v>
      </c>
      <c r="K141" s="10">
        <v>33.188519999999997</v>
      </c>
      <c r="U141" s="10">
        <v>28.581733658536571</v>
      </c>
      <c r="V141" s="10">
        <v>29.98167826923077</v>
      </c>
      <c r="W141" s="10">
        <v>31.10823596153848</v>
      </c>
      <c r="X141" s="10">
        <v>32.134877547169808</v>
      </c>
      <c r="Y141" s="10">
        <v>33.167221463414641</v>
      </c>
      <c r="Z141" s="11" t="str">
        <f t="shared" si="2"/>
        <v/>
      </c>
    </row>
    <row r="142" spans="1:26" x14ac:dyDescent="0.3">
      <c r="A142" t="s">
        <v>141</v>
      </c>
      <c r="B142" t="s">
        <v>1435</v>
      </c>
      <c r="C142" t="s">
        <v>1436</v>
      </c>
      <c r="D142" t="s">
        <v>1014</v>
      </c>
      <c r="E142" t="s">
        <v>1027</v>
      </c>
      <c r="F142" t="s">
        <v>1218</v>
      </c>
      <c r="G142" t="s">
        <v>1219</v>
      </c>
      <c r="H142" s="13">
        <v>386749</v>
      </c>
      <c r="I142" s="14">
        <v>106890147.95999999</v>
      </c>
      <c r="J142" t="s">
        <v>1052</v>
      </c>
      <c r="K142" s="10">
        <v>283.32400000000001</v>
      </c>
      <c r="W142" s="10">
        <v>266.46924675675672</v>
      </c>
      <c r="X142" s="10">
        <v>276.69667207547172</v>
      </c>
      <c r="Y142" s="10">
        <v>283.32443560975622</v>
      </c>
      <c r="Z142" s="11" t="str">
        <f t="shared" si="2"/>
        <v/>
      </c>
    </row>
    <row r="143" spans="1:26" x14ac:dyDescent="0.3">
      <c r="A143" t="s">
        <v>142</v>
      </c>
      <c r="B143" t="s">
        <v>1437</v>
      </c>
      <c r="C143" t="s">
        <v>1438</v>
      </c>
      <c r="D143" t="s">
        <v>1014</v>
      </c>
      <c r="E143" t="s">
        <v>1032</v>
      </c>
      <c r="F143" t="s">
        <v>1106</v>
      </c>
      <c r="G143" t="s">
        <v>1439</v>
      </c>
      <c r="H143" s="13">
        <v>1782743.8</v>
      </c>
      <c r="I143" s="14">
        <v>106659556.48</v>
      </c>
      <c r="J143" t="s">
        <v>1163</v>
      </c>
      <c r="K143" s="10">
        <v>61.303870000000003</v>
      </c>
      <c r="T143" s="10">
        <v>53.065191538461562</v>
      </c>
      <c r="U143" s="10">
        <v>54.621997884615439</v>
      </c>
      <c r="V143" s="10">
        <v>56.226853653846113</v>
      </c>
      <c r="W143" s="10">
        <v>57.808952692307663</v>
      </c>
      <c r="X143" s="10">
        <v>59.523617735849093</v>
      </c>
      <c r="Y143" s="10">
        <v>61.23685585365854</v>
      </c>
      <c r="Z143" s="11" t="str">
        <f t="shared" si="2"/>
        <v/>
      </c>
    </row>
    <row r="144" spans="1:26" x14ac:dyDescent="0.3">
      <c r="A144" t="s">
        <v>143</v>
      </c>
      <c r="B144" t="s">
        <v>1440</v>
      </c>
      <c r="C144" t="s">
        <v>1441</v>
      </c>
      <c r="D144" t="s">
        <v>1014</v>
      </c>
      <c r="E144" t="s">
        <v>1030</v>
      </c>
      <c r="F144" t="s">
        <v>1110</v>
      </c>
      <c r="G144" t="s">
        <v>1111</v>
      </c>
      <c r="H144" s="13">
        <v>6077602.9970000004</v>
      </c>
      <c r="I144" s="14">
        <v>106419553.3</v>
      </c>
      <c r="J144" t="s">
        <v>1052</v>
      </c>
      <c r="K144" s="10">
        <v>17.163170000000001</v>
      </c>
      <c r="M144" s="10">
        <v>13.58550075471698</v>
      </c>
      <c r="N144" s="10">
        <v>13.56735653846153</v>
      </c>
      <c r="O144" s="10">
        <v>14.212806923076929</v>
      </c>
      <c r="P144" s="10">
        <v>14.923801346153841</v>
      </c>
      <c r="Q144" s="10">
        <v>15.69059807692306</v>
      </c>
      <c r="R144" s="10">
        <v>16.392135576923071</v>
      </c>
      <c r="S144" s="10">
        <v>17.19946433962264</v>
      </c>
      <c r="T144" s="10">
        <v>17.25751076923078</v>
      </c>
      <c r="U144" s="10">
        <v>17.25914903846154</v>
      </c>
      <c r="V144" s="10">
        <v>17.23469442307692</v>
      </c>
      <c r="W144" s="10">
        <v>17.237009999999991</v>
      </c>
      <c r="X144" s="10">
        <v>17.20650528301886</v>
      </c>
      <c r="Y144" s="10">
        <v>17.169203170731709</v>
      </c>
      <c r="Z144" s="11">
        <f t="shared" si="2"/>
        <v>4.9680509999999997E-2</v>
      </c>
    </row>
    <row r="145" spans="1:26" x14ac:dyDescent="0.3">
      <c r="A145" t="s">
        <v>144</v>
      </c>
      <c r="B145" t="s">
        <v>1442</v>
      </c>
      <c r="C145" t="s">
        <v>1443</v>
      </c>
      <c r="D145" t="s">
        <v>1014</v>
      </c>
      <c r="E145" t="s">
        <v>1027</v>
      </c>
      <c r="F145" t="s">
        <v>1131</v>
      </c>
      <c r="G145" t="s">
        <v>1132</v>
      </c>
      <c r="H145" s="13">
        <v>51172.91</v>
      </c>
      <c r="I145" s="14">
        <v>106213628.28</v>
      </c>
      <c r="J145" t="s">
        <v>1052</v>
      </c>
      <c r="K145" s="10">
        <v>2139.0868300000002</v>
      </c>
      <c r="O145" s="10">
        <v>1289.982749999999</v>
      </c>
      <c r="P145" s="10">
        <v>1377.9152201923059</v>
      </c>
      <c r="Q145" s="10">
        <v>1520.0137046153841</v>
      </c>
      <c r="R145" s="10">
        <v>1617.2754723076921</v>
      </c>
      <c r="S145" s="10">
        <v>1632.5333984905669</v>
      </c>
      <c r="T145" s="10">
        <v>1710.5701473076931</v>
      </c>
      <c r="U145" s="10">
        <v>1820.5079275000021</v>
      </c>
      <c r="V145" s="10">
        <v>1939.235417692305</v>
      </c>
      <c r="W145" s="10">
        <v>2014.0282196153839</v>
      </c>
      <c r="X145" s="10">
        <v>2080.579846981133</v>
      </c>
      <c r="Y145" s="10">
        <v>2139.1107975609748</v>
      </c>
      <c r="Z145" s="11">
        <f t="shared" si="2"/>
        <v>0.28647214999999998</v>
      </c>
    </row>
    <row r="146" spans="1:26" x14ac:dyDescent="0.3">
      <c r="A146" t="s">
        <v>145</v>
      </c>
      <c r="B146" t="s">
        <v>1444</v>
      </c>
      <c r="C146" t="s">
        <v>1445</v>
      </c>
      <c r="D146" t="s">
        <v>1014</v>
      </c>
      <c r="E146" t="s">
        <v>1023</v>
      </c>
      <c r="F146" t="s">
        <v>1193</v>
      </c>
      <c r="G146" t="s">
        <v>1446</v>
      </c>
      <c r="H146" s="13">
        <v>900979</v>
      </c>
      <c r="I146" s="14">
        <v>106084689.95</v>
      </c>
      <c r="J146" t="s">
        <v>1052</v>
      </c>
      <c r="K146" s="10">
        <v>121.86639</v>
      </c>
      <c r="Q146" s="10">
        <v>82.899369583333325</v>
      </c>
      <c r="R146" s="10">
        <v>87.467903461538498</v>
      </c>
      <c r="S146" s="10">
        <v>91.797475849056667</v>
      </c>
      <c r="T146" s="10">
        <v>96.136597884615426</v>
      </c>
      <c r="U146" s="10">
        <v>100.57639769230779</v>
      </c>
      <c r="V146" s="10">
        <v>106.8225632692308</v>
      </c>
      <c r="W146" s="10">
        <v>113.27981019230759</v>
      </c>
      <c r="X146" s="10">
        <v>117.9727233962264</v>
      </c>
      <c r="Y146" s="10">
        <v>121.86631902439029</v>
      </c>
      <c r="Z146" s="11">
        <f t="shared" si="2"/>
        <v>0.34875444</v>
      </c>
    </row>
    <row r="147" spans="1:26" x14ac:dyDescent="0.3">
      <c r="A147" t="s">
        <v>146</v>
      </c>
      <c r="B147" t="s">
        <v>1447</v>
      </c>
      <c r="C147" t="s">
        <v>1448</v>
      </c>
      <c r="D147" t="s">
        <v>1014</v>
      </c>
      <c r="E147" t="s">
        <v>1027</v>
      </c>
      <c r="F147" t="s">
        <v>1449</v>
      </c>
      <c r="G147" t="s">
        <v>1450</v>
      </c>
      <c r="H147" s="13">
        <v>5582868</v>
      </c>
      <c r="I147" s="14">
        <v>104903261.59</v>
      </c>
      <c r="J147" t="s">
        <v>1052</v>
      </c>
      <c r="K147" s="10">
        <v>19.897690000000001</v>
      </c>
      <c r="X147" s="10">
        <v>18.795399200000009</v>
      </c>
      <c r="Y147" s="10">
        <v>19.887778048780479</v>
      </c>
      <c r="Z147" s="11" t="str">
        <f t="shared" si="2"/>
        <v/>
      </c>
    </row>
    <row r="148" spans="1:26" x14ac:dyDescent="0.3">
      <c r="A148" t="s">
        <v>147</v>
      </c>
      <c r="B148" t="s">
        <v>1451</v>
      </c>
      <c r="C148" t="s">
        <v>1452</v>
      </c>
      <c r="D148" t="s">
        <v>1014</v>
      </c>
      <c r="E148" t="s">
        <v>1027</v>
      </c>
      <c r="F148" t="s">
        <v>1270</v>
      </c>
      <c r="G148" t="s">
        <v>1271</v>
      </c>
      <c r="H148" s="13">
        <v>8301875</v>
      </c>
      <c r="I148" s="14">
        <v>104704330.72</v>
      </c>
      <c r="J148" t="s">
        <v>1052</v>
      </c>
      <c r="K148" s="10">
        <v>12.36068</v>
      </c>
      <c r="M148" s="10">
        <v>6.4582818867924532</v>
      </c>
      <c r="N148" s="10">
        <v>7.1817069230769199</v>
      </c>
      <c r="O148" s="10">
        <v>8.0144469230769211</v>
      </c>
      <c r="P148" s="10">
        <v>8.6663930769230788</v>
      </c>
      <c r="Q148" s="10">
        <v>9.4311794230769195</v>
      </c>
      <c r="R148" s="10">
        <v>9.6520834615384601</v>
      </c>
      <c r="S148" s="10">
        <v>10.18155716981132</v>
      </c>
      <c r="T148" s="10">
        <v>10.68714326923077</v>
      </c>
      <c r="U148" s="10">
        <v>11.246801346153861</v>
      </c>
      <c r="V148" s="10">
        <v>11.809268461538471</v>
      </c>
      <c r="W148" s="10">
        <v>12.40257423076922</v>
      </c>
      <c r="X148" s="10">
        <v>12.380676415094349</v>
      </c>
      <c r="Y148" s="10">
        <v>12.36272902439025</v>
      </c>
      <c r="Z148" s="11">
        <f t="shared" si="2"/>
        <v>0.28269471000000002</v>
      </c>
    </row>
    <row r="149" spans="1:26" x14ac:dyDescent="0.3">
      <c r="A149" t="s">
        <v>148</v>
      </c>
      <c r="B149" t="s">
        <v>1453</v>
      </c>
      <c r="C149" t="s">
        <v>1454</v>
      </c>
      <c r="D149" t="s">
        <v>1014</v>
      </c>
      <c r="E149" t="s">
        <v>1025</v>
      </c>
      <c r="F149" t="s">
        <v>1114</v>
      </c>
      <c r="G149" t="s">
        <v>1377</v>
      </c>
      <c r="H149" s="13">
        <v>1065607</v>
      </c>
      <c r="I149" s="14">
        <v>103719491.61</v>
      </c>
      <c r="J149" t="s">
        <v>1052</v>
      </c>
      <c r="K149" s="10">
        <v>73.771640000000005</v>
      </c>
      <c r="M149" s="10">
        <v>36.930460566037738</v>
      </c>
      <c r="N149" s="10">
        <v>43.141286538461529</v>
      </c>
      <c r="O149" s="10">
        <v>54.127291923076918</v>
      </c>
      <c r="P149" s="10">
        <v>60.9838928846154</v>
      </c>
      <c r="Q149" s="10">
        <v>66.411035576923069</v>
      </c>
      <c r="R149" s="10">
        <v>72.284779038461508</v>
      </c>
      <c r="S149" s="10">
        <v>76.027355471698115</v>
      </c>
      <c r="T149" s="10">
        <v>79.875243076923098</v>
      </c>
      <c r="U149" s="10">
        <v>84.230910000000122</v>
      </c>
      <c r="V149" s="10">
        <v>89.284760000000034</v>
      </c>
      <c r="W149" s="10">
        <v>93.609434999999991</v>
      </c>
      <c r="X149" s="10">
        <v>97.813987358490579</v>
      </c>
      <c r="Y149" s="10">
        <v>73.749228780487826</v>
      </c>
      <c r="Z149" s="11">
        <f t="shared" si="2"/>
        <v>0.35317544000000001</v>
      </c>
    </row>
    <row r="150" spans="1:26" x14ac:dyDescent="0.3">
      <c r="A150" t="s">
        <v>149</v>
      </c>
      <c r="B150" t="s">
        <v>1455</v>
      </c>
      <c r="C150" t="s">
        <v>1456</v>
      </c>
      <c r="D150" t="s">
        <v>1014</v>
      </c>
      <c r="E150" t="s">
        <v>1018</v>
      </c>
      <c r="F150" t="s">
        <v>1092</v>
      </c>
      <c r="G150" t="s">
        <v>1457</v>
      </c>
      <c r="H150" s="13">
        <v>363878</v>
      </c>
      <c r="I150" s="14">
        <v>101312575.76000001</v>
      </c>
      <c r="J150" t="s">
        <v>1061</v>
      </c>
      <c r="K150" s="10">
        <v>281.96114</v>
      </c>
      <c r="R150" s="10">
        <v>218.03352102040819</v>
      </c>
      <c r="S150" s="10">
        <v>217.52281018867919</v>
      </c>
      <c r="T150" s="10">
        <v>229.32170134615399</v>
      </c>
      <c r="U150" s="10">
        <v>246.99623692307691</v>
      </c>
      <c r="V150" s="10">
        <v>266.42672346153859</v>
      </c>
      <c r="W150" s="10">
        <v>271.38898942307691</v>
      </c>
      <c r="X150" s="10">
        <v>276.27403037735837</v>
      </c>
      <c r="Y150" s="10">
        <v>281.84009341463423</v>
      </c>
      <c r="Z150" s="11">
        <f t="shared" si="2"/>
        <v>0.26711722999999998</v>
      </c>
    </row>
    <row r="151" spans="1:26" x14ac:dyDescent="0.3">
      <c r="A151" t="s">
        <v>150</v>
      </c>
      <c r="B151" t="s">
        <v>1458</v>
      </c>
      <c r="C151" t="s">
        <v>1459</v>
      </c>
      <c r="D151" t="s">
        <v>1014</v>
      </c>
      <c r="E151" t="s">
        <v>1019</v>
      </c>
      <c r="F151" t="s">
        <v>1064</v>
      </c>
      <c r="G151" t="s">
        <v>1434</v>
      </c>
      <c r="H151" s="13">
        <v>3111262</v>
      </c>
      <c r="I151" s="14">
        <v>101182369.18000001</v>
      </c>
      <c r="J151" t="s">
        <v>1052</v>
      </c>
      <c r="K151" s="10">
        <v>33.193359999999998</v>
      </c>
      <c r="U151" s="10">
        <v>28.57542975609757</v>
      </c>
      <c r="V151" s="10">
        <v>29.97232884615384</v>
      </c>
      <c r="W151" s="10">
        <v>31.107732307692331</v>
      </c>
      <c r="X151" s="10">
        <v>32.139051698113221</v>
      </c>
      <c r="Y151" s="10">
        <v>33.183380487804889</v>
      </c>
      <c r="Z151" s="11" t="str">
        <f t="shared" si="2"/>
        <v/>
      </c>
    </row>
    <row r="152" spans="1:26" x14ac:dyDescent="0.3">
      <c r="A152" t="s">
        <v>151</v>
      </c>
      <c r="B152" t="s">
        <v>1460</v>
      </c>
      <c r="C152" t="s">
        <v>1461</v>
      </c>
      <c r="D152" t="s">
        <v>1014</v>
      </c>
      <c r="E152" t="s">
        <v>1027</v>
      </c>
      <c r="F152" t="s">
        <v>1270</v>
      </c>
      <c r="G152" t="s">
        <v>1271</v>
      </c>
      <c r="H152" s="13">
        <v>7900349</v>
      </c>
      <c r="I152" s="14">
        <v>99652667.629999995</v>
      </c>
      <c r="J152" t="s">
        <v>1052</v>
      </c>
      <c r="K152" s="10">
        <v>12.352539999999999</v>
      </c>
      <c r="M152" s="10">
        <v>6.5148735849056552</v>
      </c>
      <c r="N152" s="10">
        <v>7.2446465384615433</v>
      </c>
      <c r="O152" s="10">
        <v>8.0145326923076983</v>
      </c>
      <c r="P152" s="10">
        <v>8.6761199999999903</v>
      </c>
      <c r="Q152" s="10">
        <v>9.4313448076922999</v>
      </c>
      <c r="R152" s="10">
        <v>9.6472138461538446</v>
      </c>
      <c r="S152" s="10">
        <v>10.186538679245279</v>
      </c>
      <c r="T152" s="10">
        <v>10.701003269230769</v>
      </c>
      <c r="U152" s="10">
        <v>11.236180961538469</v>
      </c>
      <c r="V152" s="10">
        <v>11.79359230769232</v>
      </c>
      <c r="W152" s="10">
        <v>12.37493596153845</v>
      </c>
      <c r="X152" s="10">
        <v>12.377739056603779</v>
      </c>
      <c r="Y152" s="10">
        <v>12.355646341463411</v>
      </c>
      <c r="Z152" s="11">
        <f t="shared" si="2"/>
        <v>0.2830377</v>
      </c>
    </row>
    <row r="153" spans="1:26" x14ac:dyDescent="0.3">
      <c r="A153" t="s">
        <v>152</v>
      </c>
      <c r="B153" t="s">
        <v>1462</v>
      </c>
      <c r="C153" t="s">
        <v>1463</v>
      </c>
      <c r="D153" t="s">
        <v>1014</v>
      </c>
      <c r="E153" t="s">
        <v>1027</v>
      </c>
      <c r="F153" t="s">
        <v>1092</v>
      </c>
      <c r="G153" t="s">
        <v>1464</v>
      </c>
      <c r="H153" s="13">
        <v>133867</v>
      </c>
      <c r="I153" s="14">
        <v>98663707.480000004</v>
      </c>
      <c r="J153" t="s">
        <v>1061</v>
      </c>
      <c r="K153" s="10">
        <v>753.32586000000003</v>
      </c>
      <c r="R153" s="10">
        <v>554.375</v>
      </c>
      <c r="S153" s="10">
        <v>579.78704301886796</v>
      </c>
      <c r="T153" s="10">
        <v>614.91076365384606</v>
      </c>
      <c r="U153" s="10">
        <v>662.04258865384645</v>
      </c>
      <c r="V153" s="10">
        <v>713.39604750000024</v>
      </c>
      <c r="W153" s="10">
        <v>725.05493000000024</v>
      </c>
      <c r="X153" s="10">
        <v>738.78985584905661</v>
      </c>
      <c r="Y153" s="10">
        <v>753.30944487804879</v>
      </c>
      <c r="Z153" s="11">
        <f t="shared" si="2"/>
        <v>0.33265362999999998</v>
      </c>
    </row>
    <row r="154" spans="1:26" x14ac:dyDescent="0.3">
      <c r="A154" t="s">
        <v>153</v>
      </c>
      <c r="B154" t="s">
        <v>1465</v>
      </c>
      <c r="C154" t="s">
        <v>1466</v>
      </c>
      <c r="D154" t="s">
        <v>1014</v>
      </c>
      <c r="E154" t="s">
        <v>1027</v>
      </c>
      <c r="F154" t="s">
        <v>1270</v>
      </c>
      <c r="G154" t="s">
        <v>1467</v>
      </c>
      <c r="H154" s="13">
        <v>5900047</v>
      </c>
      <c r="I154" s="14">
        <v>97565436.489999995</v>
      </c>
      <c r="J154" t="s">
        <v>1052</v>
      </c>
      <c r="K154" s="10">
        <v>17.19979</v>
      </c>
      <c r="O154" s="10">
        <v>10.231382</v>
      </c>
      <c r="P154" s="10">
        <v>11.085030961538459</v>
      </c>
      <c r="Q154" s="10">
        <v>12.08261038461538</v>
      </c>
      <c r="R154" s="10">
        <v>12.27465307692307</v>
      </c>
      <c r="S154" s="10">
        <v>12.82347886792453</v>
      </c>
      <c r="T154" s="10">
        <v>13.502936730769241</v>
      </c>
      <c r="U154" s="10">
        <v>14.1990153846154</v>
      </c>
      <c r="V154" s="10">
        <v>14.903154807692299</v>
      </c>
      <c r="W154" s="10">
        <v>15.650843653846159</v>
      </c>
      <c r="X154" s="10">
        <v>16.40223509433963</v>
      </c>
      <c r="Y154" s="10">
        <v>17.225020000000001</v>
      </c>
      <c r="Z154" s="11">
        <f t="shared" si="2"/>
        <v>0.33626873000000002</v>
      </c>
    </row>
    <row r="155" spans="1:26" x14ac:dyDescent="0.3">
      <c r="A155" t="s">
        <v>154</v>
      </c>
      <c r="B155" t="s">
        <v>1468</v>
      </c>
      <c r="C155" t="s">
        <v>1469</v>
      </c>
      <c r="D155" t="s">
        <v>1014</v>
      </c>
      <c r="E155" t="s">
        <v>1027</v>
      </c>
      <c r="F155" t="s">
        <v>1241</v>
      </c>
      <c r="G155" t="s">
        <v>1470</v>
      </c>
      <c r="H155" s="13">
        <v>30758.639999999999</v>
      </c>
      <c r="I155" s="14">
        <v>97455237.469999999</v>
      </c>
      <c r="J155" t="s">
        <v>1052</v>
      </c>
      <c r="K155" s="10">
        <v>327.04771</v>
      </c>
      <c r="S155" s="10">
        <v>263.97923000000009</v>
      </c>
      <c r="T155" s="10">
        <v>263.94021692307678</v>
      </c>
      <c r="U155" s="10">
        <v>282.45189384615372</v>
      </c>
      <c r="V155" s="10">
        <v>298.87659519230789</v>
      </c>
      <c r="W155" s="10">
        <v>311.85750326923062</v>
      </c>
      <c r="X155" s="10">
        <v>319.25684188679247</v>
      </c>
      <c r="Y155" s="10">
        <v>327.18042170731718</v>
      </c>
      <c r="Z155" s="11" t="str">
        <f t="shared" si="2"/>
        <v/>
      </c>
    </row>
    <row r="156" spans="1:26" x14ac:dyDescent="0.3">
      <c r="A156" t="s">
        <v>155</v>
      </c>
      <c r="B156" t="s">
        <v>1471</v>
      </c>
      <c r="C156" t="s">
        <v>1472</v>
      </c>
      <c r="D156" t="s">
        <v>1014</v>
      </c>
      <c r="E156" t="s">
        <v>1019</v>
      </c>
      <c r="F156" t="s">
        <v>1081</v>
      </c>
      <c r="G156" t="s">
        <v>1473</v>
      </c>
      <c r="H156" s="13">
        <v>5673342</v>
      </c>
      <c r="I156" s="14">
        <v>97301597.930000007</v>
      </c>
      <c r="J156" t="s">
        <v>1052</v>
      </c>
      <c r="K156" s="10">
        <v>16.798190000000002</v>
      </c>
      <c r="M156" s="10">
        <v>9.3753222641509399</v>
      </c>
      <c r="N156" s="10">
        <v>10.680817884615379</v>
      </c>
      <c r="O156" s="10">
        <v>11.523704615384609</v>
      </c>
      <c r="P156" s="10">
        <v>12.215651730769229</v>
      </c>
      <c r="Q156" s="10">
        <v>13.14960480769232</v>
      </c>
      <c r="R156" s="10">
        <v>13.945549807692309</v>
      </c>
      <c r="S156" s="10">
        <v>14.78235169811321</v>
      </c>
      <c r="T156" s="10">
        <v>15.52695826923078</v>
      </c>
      <c r="U156" s="10">
        <v>16.129583461538441</v>
      </c>
      <c r="V156" s="10">
        <v>16.796680961538481</v>
      </c>
      <c r="W156" s="10">
        <v>16.773113846153841</v>
      </c>
      <c r="X156" s="10">
        <v>16.791433584905661</v>
      </c>
      <c r="Y156" s="10">
        <v>16.800768292682921</v>
      </c>
      <c r="Z156" s="11">
        <f t="shared" si="2"/>
        <v>0.20407111</v>
      </c>
    </row>
    <row r="157" spans="1:26" x14ac:dyDescent="0.3">
      <c r="A157" t="s">
        <v>156</v>
      </c>
      <c r="B157" t="s">
        <v>1474</v>
      </c>
      <c r="C157" t="s">
        <v>1475</v>
      </c>
      <c r="D157" t="s">
        <v>1015</v>
      </c>
      <c r="E157" t="s">
        <v>1019</v>
      </c>
      <c r="F157" t="s">
        <v>1363</v>
      </c>
      <c r="G157" t="s">
        <v>1476</v>
      </c>
      <c r="H157" s="13">
        <v>6744072</v>
      </c>
      <c r="I157" s="14">
        <v>94829654.670000002</v>
      </c>
      <c r="J157" t="s">
        <v>1052</v>
      </c>
      <c r="K157" s="10">
        <v>0.18390999999999999</v>
      </c>
      <c r="W157" s="10">
        <v>11.561154324324329</v>
      </c>
      <c r="X157" s="10">
        <v>11.478377169811321</v>
      </c>
      <c r="Y157" s="10">
        <v>5.9632556097560938</v>
      </c>
      <c r="Z157" s="11" t="str">
        <f t="shared" si="2"/>
        <v/>
      </c>
    </row>
    <row r="158" spans="1:26" x14ac:dyDescent="0.3">
      <c r="A158" t="s">
        <v>157</v>
      </c>
      <c r="B158" t="s">
        <v>1477</v>
      </c>
      <c r="C158" t="s">
        <v>1478</v>
      </c>
      <c r="D158" t="s">
        <v>1014</v>
      </c>
      <c r="E158" t="s">
        <v>1032</v>
      </c>
      <c r="F158" t="s">
        <v>1081</v>
      </c>
      <c r="G158" t="s">
        <v>1479</v>
      </c>
      <c r="H158" s="13">
        <v>8391792</v>
      </c>
      <c r="I158" s="14">
        <v>92888734.969999999</v>
      </c>
      <c r="J158" t="s">
        <v>1052</v>
      </c>
      <c r="K158" s="10">
        <v>10.604810000000001</v>
      </c>
      <c r="M158" s="10">
        <v>9.2190522641509407</v>
      </c>
      <c r="N158" s="10">
        <v>10.01932749999999</v>
      </c>
      <c r="O158" s="10">
        <v>10.79217961538461</v>
      </c>
      <c r="P158" s="10">
        <v>11.794455576923079</v>
      </c>
      <c r="Q158" s="10">
        <v>12.711561538461529</v>
      </c>
      <c r="R158" s="10">
        <v>13.7227973076923</v>
      </c>
      <c r="S158" s="10">
        <v>14.53280943396226</v>
      </c>
      <c r="T158" s="10">
        <v>15.292449038461539</v>
      </c>
      <c r="U158" s="10">
        <v>15.894582307692319</v>
      </c>
      <c r="V158" s="10">
        <v>16.38459884615386</v>
      </c>
      <c r="W158" s="10">
        <v>16.351018846153849</v>
      </c>
      <c r="X158" s="10">
        <v>10.733477358490569</v>
      </c>
      <c r="Y158" s="10">
        <v>10.619954634146341</v>
      </c>
      <c r="Z158" s="11">
        <f t="shared" si="2"/>
        <v>-0.21783605</v>
      </c>
    </row>
    <row r="159" spans="1:26" x14ac:dyDescent="0.3">
      <c r="A159" t="s">
        <v>158</v>
      </c>
      <c r="B159" t="s">
        <v>1480</v>
      </c>
      <c r="C159" t="s">
        <v>1481</v>
      </c>
      <c r="D159" t="s">
        <v>1014</v>
      </c>
      <c r="E159" t="s">
        <v>1032</v>
      </c>
      <c r="F159" t="s">
        <v>1081</v>
      </c>
      <c r="G159" t="s">
        <v>1482</v>
      </c>
      <c r="H159" s="13">
        <v>748085</v>
      </c>
      <c r="I159" s="14">
        <v>91319194.909999996</v>
      </c>
      <c r="J159" t="s">
        <v>1163</v>
      </c>
      <c r="K159" s="10">
        <v>124.15814</v>
      </c>
      <c r="M159" s="10">
        <v>65.877983396226384</v>
      </c>
      <c r="N159" s="10">
        <v>69.523108653846123</v>
      </c>
      <c r="O159" s="10">
        <v>75.575593846153865</v>
      </c>
      <c r="P159" s="10">
        <v>82.786130384615461</v>
      </c>
      <c r="Q159" s="10">
        <v>89.278904038461476</v>
      </c>
      <c r="R159" s="10">
        <v>96.407098653846163</v>
      </c>
      <c r="S159" s="10">
        <v>102.0972167924528</v>
      </c>
      <c r="T159" s="10">
        <v>106.2780903846154</v>
      </c>
      <c r="U159" s="10">
        <v>110.38347884615401</v>
      </c>
      <c r="V159" s="10">
        <v>113.86142519230771</v>
      </c>
      <c r="W159" s="10">
        <v>117.30591</v>
      </c>
      <c r="X159" s="10">
        <v>120.6341243396226</v>
      </c>
      <c r="Y159" s="10">
        <v>124.22852317073171</v>
      </c>
      <c r="Z159" s="11">
        <f t="shared" si="2"/>
        <v>0.25129919000000001</v>
      </c>
    </row>
    <row r="160" spans="1:26" x14ac:dyDescent="0.3">
      <c r="A160" t="s">
        <v>159</v>
      </c>
      <c r="B160" t="s">
        <v>1483</v>
      </c>
      <c r="C160" t="s">
        <v>1484</v>
      </c>
      <c r="D160" t="s">
        <v>1015</v>
      </c>
      <c r="E160" t="s">
        <v>1032</v>
      </c>
      <c r="F160" t="s">
        <v>1485</v>
      </c>
      <c r="G160" t="s">
        <v>1486</v>
      </c>
      <c r="H160" s="13">
        <v>1307539.3119999999</v>
      </c>
      <c r="I160" s="14">
        <v>91254929.840000004</v>
      </c>
      <c r="J160" t="s">
        <v>1052</v>
      </c>
      <c r="K160" s="10">
        <v>141.27566999999999</v>
      </c>
      <c r="P160" s="10">
        <v>144.345397173913</v>
      </c>
      <c r="Q160" s="10">
        <v>142.8289805769231</v>
      </c>
      <c r="R160" s="10">
        <v>143.632760576923</v>
      </c>
      <c r="S160" s="10">
        <v>143.4607343396226</v>
      </c>
      <c r="T160" s="10">
        <v>143.48375846153851</v>
      </c>
      <c r="U160" s="10">
        <v>141.8346105769231</v>
      </c>
      <c r="V160" s="10">
        <v>141.35172</v>
      </c>
      <c r="W160" s="10">
        <v>141.69203384615389</v>
      </c>
      <c r="X160" s="10">
        <v>141.6607554716982</v>
      </c>
      <c r="Y160" s="10">
        <v>141.58543317073179</v>
      </c>
      <c r="Z160" s="11">
        <f t="shared" si="2"/>
        <v>-1.372949E-2</v>
      </c>
    </row>
    <row r="161" spans="1:26" x14ac:dyDescent="0.3">
      <c r="A161" t="s">
        <v>160</v>
      </c>
      <c r="B161" t="s">
        <v>1487</v>
      </c>
      <c r="C161" t="s">
        <v>1488</v>
      </c>
      <c r="D161" t="s">
        <v>1014</v>
      </c>
      <c r="E161" t="s">
        <v>1027</v>
      </c>
      <c r="F161" t="s">
        <v>1209</v>
      </c>
      <c r="G161" t="s">
        <v>1210</v>
      </c>
      <c r="H161" s="13">
        <v>1642308</v>
      </c>
      <c r="I161" s="14">
        <v>89925578.769999996</v>
      </c>
      <c r="J161" t="s">
        <v>1052</v>
      </c>
      <c r="K161" s="10">
        <v>57.200400000000002</v>
      </c>
      <c r="V161" s="10">
        <v>50.201239807692318</v>
      </c>
      <c r="W161" s="10">
        <v>53.119707307692309</v>
      </c>
      <c r="X161" s="10">
        <v>54.587404150943406</v>
      </c>
      <c r="Y161" s="10">
        <v>57.228081219512227</v>
      </c>
      <c r="Z161" s="11" t="str">
        <f t="shared" si="2"/>
        <v/>
      </c>
    </row>
    <row r="162" spans="1:26" x14ac:dyDescent="0.3">
      <c r="A162" t="s">
        <v>161</v>
      </c>
      <c r="B162" t="s">
        <v>1489</v>
      </c>
      <c r="C162" t="s">
        <v>1490</v>
      </c>
      <c r="D162" t="s">
        <v>1014</v>
      </c>
      <c r="E162" t="s">
        <v>1025</v>
      </c>
      <c r="F162" t="s">
        <v>1068</v>
      </c>
      <c r="G162" t="s">
        <v>1078</v>
      </c>
      <c r="H162" s="13">
        <v>3241.7869999999998</v>
      </c>
      <c r="I162" s="14">
        <v>88702816.060000002</v>
      </c>
      <c r="J162" t="s">
        <v>1061</v>
      </c>
      <c r="K162" s="10">
        <v>29874.448</v>
      </c>
      <c r="M162" s="10">
        <v>14341.287864199991</v>
      </c>
      <c r="N162" s="10">
        <v>15606.965841923069</v>
      </c>
      <c r="O162" s="10">
        <v>16937.490178461529</v>
      </c>
      <c r="P162" s="10">
        <v>18063.603601923081</v>
      </c>
      <c r="Q162" s="10">
        <v>19796.52822384614</v>
      </c>
      <c r="R162" s="10">
        <v>21143.952506923059</v>
      </c>
      <c r="S162" s="10">
        <v>22488.54116830189</v>
      </c>
      <c r="V162" s="10">
        <v>25519.955999999998</v>
      </c>
      <c r="W162" s="10">
        <v>26652.06044153847</v>
      </c>
      <c r="X162" s="10">
        <v>28207.439231320732</v>
      </c>
      <c r="Y162" s="10">
        <v>29817.38871073172</v>
      </c>
      <c r="Z162" s="11">
        <f t="shared" si="2"/>
        <v>0.33406651999999998</v>
      </c>
    </row>
    <row r="163" spans="1:26" x14ac:dyDescent="0.3">
      <c r="A163" t="s">
        <v>162</v>
      </c>
      <c r="B163" t="s">
        <v>1491</v>
      </c>
      <c r="C163" t="s">
        <v>1492</v>
      </c>
      <c r="D163" t="s">
        <v>1014</v>
      </c>
      <c r="E163" t="s">
        <v>1028</v>
      </c>
      <c r="F163" t="s">
        <v>1074</v>
      </c>
      <c r="G163" t="s">
        <v>1493</v>
      </c>
      <c r="H163" s="13">
        <v>147426</v>
      </c>
      <c r="I163" s="14">
        <v>86354321.650000006</v>
      </c>
      <c r="J163" t="s">
        <v>1052</v>
      </c>
      <c r="K163" s="10">
        <v>591.18119999999999</v>
      </c>
      <c r="M163" s="10">
        <v>294.64674528301907</v>
      </c>
      <c r="N163" s="10">
        <v>327.77704288461541</v>
      </c>
      <c r="O163" s="10">
        <v>355.25923653846172</v>
      </c>
      <c r="P163" s="10">
        <v>385.58526461538457</v>
      </c>
      <c r="Q163" s="10">
        <v>414.1005174999998</v>
      </c>
      <c r="R163" s="10">
        <v>439.20973423076953</v>
      </c>
      <c r="S163" s="10">
        <v>465.57188962264172</v>
      </c>
      <c r="T163" s="10">
        <v>486.63946038461512</v>
      </c>
      <c r="U163" s="10">
        <v>509.91964076923023</v>
      </c>
      <c r="V163" s="10">
        <v>547.36811115384637</v>
      </c>
      <c r="W163" s="10">
        <v>588.7757848076925</v>
      </c>
      <c r="X163" s="10">
        <v>590.85486960784294</v>
      </c>
      <c r="Y163" s="10">
        <v>591.14850645161243</v>
      </c>
      <c r="Z163" s="11">
        <f t="shared" si="2"/>
        <v>0.34526815999999999</v>
      </c>
    </row>
    <row r="164" spans="1:26" x14ac:dyDescent="0.3">
      <c r="A164" t="s">
        <v>163</v>
      </c>
      <c r="B164" t="s">
        <v>1494</v>
      </c>
      <c r="C164" t="s">
        <v>1495</v>
      </c>
      <c r="D164" t="s">
        <v>1014</v>
      </c>
      <c r="E164" t="s">
        <v>1032</v>
      </c>
      <c r="F164" t="s">
        <v>1496</v>
      </c>
      <c r="G164" t="s">
        <v>1497</v>
      </c>
      <c r="H164" s="13">
        <v>3319071.6</v>
      </c>
      <c r="I164" s="14">
        <v>86168624.439999998</v>
      </c>
      <c r="J164" t="s">
        <v>1163</v>
      </c>
      <c r="K164" s="10">
        <v>25.182749999999999</v>
      </c>
      <c r="U164" s="10">
        <v>24.072913076923069</v>
      </c>
      <c r="V164" s="10">
        <v>25.241606346153841</v>
      </c>
      <c r="W164" s="10">
        <v>25.25927153846154</v>
      </c>
      <c r="X164" s="10">
        <v>25.247511886792449</v>
      </c>
      <c r="Y164" s="10">
        <v>25.209283658536592</v>
      </c>
      <c r="Z164" s="11" t="str">
        <f t="shared" si="2"/>
        <v/>
      </c>
    </row>
    <row r="165" spans="1:26" x14ac:dyDescent="0.3">
      <c r="A165" t="s">
        <v>164</v>
      </c>
      <c r="B165" t="s">
        <v>1498</v>
      </c>
      <c r="C165" t="s">
        <v>1499</v>
      </c>
      <c r="D165" t="s">
        <v>1014</v>
      </c>
      <c r="E165" t="s">
        <v>1023</v>
      </c>
      <c r="F165" t="s">
        <v>1068</v>
      </c>
      <c r="G165" t="s">
        <v>1500</v>
      </c>
      <c r="H165" s="13">
        <v>1066849</v>
      </c>
      <c r="I165" s="14">
        <v>84845413.049999997</v>
      </c>
      <c r="J165" t="s">
        <v>1052</v>
      </c>
      <c r="K165" s="10">
        <v>79.993819999999999</v>
      </c>
      <c r="N165" s="10">
        <v>46.284079999999989</v>
      </c>
      <c r="O165" s="10">
        <v>49.874933269230752</v>
      </c>
      <c r="P165" s="10">
        <v>53.526407884615402</v>
      </c>
      <c r="Q165" s="10">
        <v>57.94475076923073</v>
      </c>
      <c r="R165" s="10">
        <v>62.276881730769261</v>
      </c>
      <c r="S165" s="10">
        <v>65.022521132075497</v>
      </c>
      <c r="T165" s="10">
        <v>68.04107192307697</v>
      </c>
      <c r="U165" s="10">
        <v>72.229350384615344</v>
      </c>
      <c r="V165" s="10">
        <v>76.987167692307793</v>
      </c>
      <c r="W165" s="10">
        <v>79.551668461538512</v>
      </c>
      <c r="X165" s="10">
        <v>79.870093962264136</v>
      </c>
      <c r="Y165" s="10">
        <v>79.991051463414678</v>
      </c>
      <c r="Z165" s="11">
        <f t="shared" si="2"/>
        <v>0.28249988999999998</v>
      </c>
    </row>
    <row r="166" spans="1:26" x14ac:dyDescent="0.3">
      <c r="A166" t="s">
        <v>165</v>
      </c>
      <c r="B166" t="s">
        <v>1501</v>
      </c>
      <c r="C166" t="s">
        <v>1502</v>
      </c>
      <c r="D166" t="s">
        <v>1014</v>
      </c>
      <c r="E166" t="s">
        <v>1032</v>
      </c>
      <c r="F166" t="s">
        <v>1081</v>
      </c>
      <c r="G166" t="s">
        <v>1333</v>
      </c>
      <c r="H166" s="13">
        <v>663108</v>
      </c>
      <c r="I166" s="14">
        <v>84680155.150000006</v>
      </c>
      <c r="J166" t="s">
        <v>1163</v>
      </c>
      <c r="K166" s="10">
        <v>126.07565</v>
      </c>
      <c r="O166" s="10">
        <v>81.354187317073226</v>
      </c>
      <c r="P166" s="10">
        <v>88.283734807692255</v>
      </c>
      <c r="Q166" s="10">
        <v>95.321739038461473</v>
      </c>
      <c r="R166" s="10">
        <v>103.1142863461538</v>
      </c>
      <c r="S166" s="10">
        <v>109.0757652830188</v>
      </c>
      <c r="T166" s="10">
        <v>114.5691525</v>
      </c>
      <c r="U166" s="10">
        <v>119.10329038461531</v>
      </c>
      <c r="V166" s="10">
        <v>122.7780403846153</v>
      </c>
      <c r="W166" s="10">
        <v>126.21115769230769</v>
      </c>
      <c r="X166" s="10">
        <v>126.16056641509429</v>
      </c>
      <c r="Y166" s="10">
        <v>126.1135448780488</v>
      </c>
      <c r="Z166" s="11">
        <f t="shared" si="2"/>
        <v>0.22350229999999999</v>
      </c>
    </row>
    <row r="167" spans="1:26" x14ac:dyDescent="0.3">
      <c r="A167" t="s">
        <v>166</v>
      </c>
      <c r="B167" t="s">
        <v>1503</v>
      </c>
      <c r="C167" t="s">
        <v>1504</v>
      </c>
      <c r="D167" t="s">
        <v>1014</v>
      </c>
      <c r="E167" t="s">
        <v>1027</v>
      </c>
      <c r="F167" t="s">
        <v>1068</v>
      </c>
      <c r="G167" t="s">
        <v>1069</v>
      </c>
      <c r="H167" s="13">
        <v>37777.188999999998</v>
      </c>
      <c r="I167" s="14">
        <v>83938980.439999998</v>
      </c>
      <c r="J167" t="s">
        <v>1061</v>
      </c>
      <c r="K167" s="10">
        <v>2339.6685499999999</v>
      </c>
      <c r="M167" s="10">
        <v>1192.200495094339</v>
      </c>
      <c r="N167" s="10">
        <v>1275.90876076923</v>
      </c>
      <c r="O167" s="10">
        <v>1385.0639263461539</v>
      </c>
      <c r="P167" s="10">
        <v>1498.93972423077</v>
      </c>
      <c r="Q167" s="10">
        <v>1604.264937692308</v>
      </c>
      <c r="R167" s="10">
        <v>1712.626913076924</v>
      </c>
      <c r="S167" s="10">
        <v>1796.610778867926</v>
      </c>
      <c r="T167" s="10">
        <v>1881.0721826923059</v>
      </c>
      <c r="U167" s="10">
        <v>1997.896206538461</v>
      </c>
      <c r="V167" s="10">
        <v>2138.7238584615411</v>
      </c>
      <c r="W167" s="10">
        <v>2222.8911219230749</v>
      </c>
      <c r="X167" s="10">
        <v>2280.0639832075472</v>
      </c>
      <c r="Y167" s="10">
        <v>2339.9892139024391</v>
      </c>
      <c r="Z167" s="11">
        <f t="shared" si="2"/>
        <v>0.33132556000000002</v>
      </c>
    </row>
    <row r="168" spans="1:26" x14ac:dyDescent="0.3">
      <c r="A168" t="s">
        <v>167</v>
      </c>
      <c r="B168" t="s">
        <v>1505</v>
      </c>
      <c r="C168" t="s">
        <v>1506</v>
      </c>
      <c r="D168" t="s">
        <v>1014</v>
      </c>
      <c r="E168" t="s">
        <v>1027</v>
      </c>
      <c r="F168" t="s">
        <v>1131</v>
      </c>
      <c r="G168" t="s">
        <v>1330</v>
      </c>
      <c r="H168" s="13">
        <v>1720579.5</v>
      </c>
      <c r="I168" s="14">
        <v>83654857.980000004</v>
      </c>
      <c r="J168" t="s">
        <v>1052</v>
      </c>
      <c r="K168" s="10">
        <v>49.486159999999998</v>
      </c>
      <c r="O168" s="10">
        <v>29.377129199999999</v>
      </c>
      <c r="P168" s="10">
        <v>31.59188249999999</v>
      </c>
      <c r="Q168" s="10">
        <v>34.547227692307693</v>
      </c>
      <c r="R168" s="10">
        <v>36.796195769230764</v>
      </c>
      <c r="S168" s="10">
        <v>37.233789245283027</v>
      </c>
      <c r="T168" s="10">
        <v>39.72655096153845</v>
      </c>
      <c r="U168" s="10">
        <v>42.389289615384627</v>
      </c>
      <c r="V168" s="10">
        <v>45.160126538461512</v>
      </c>
      <c r="W168" s="10">
        <v>46.945737499999993</v>
      </c>
      <c r="X168" s="10">
        <v>48.350242830188677</v>
      </c>
      <c r="Y168" s="10">
        <v>49.549480000000003</v>
      </c>
      <c r="Z168" s="11">
        <f t="shared" si="2"/>
        <v>0.31400113000000002</v>
      </c>
    </row>
    <row r="169" spans="1:26" x14ac:dyDescent="0.3">
      <c r="A169" t="s">
        <v>168</v>
      </c>
      <c r="B169" t="s">
        <v>1507</v>
      </c>
      <c r="C169" t="s">
        <v>1508</v>
      </c>
      <c r="D169" t="s">
        <v>1014</v>
      </c>
      <c r="E169" t="s">
        <v>1027</v>
      </c>
      <c r="F169" t="s">
        <v>1181</v>
      </c>
      <c r="G169" t="s">
        <v>1348</v>
      </c>
      <c r="H169" s="13">
        <v>88360.569000000003</v>
      </c>
      <c r="I169" s="14">
        <v>82328957.349999994</v>
      </c>
      <c r="J169" t="s">
        <v>1061</v>
      </c>
      <c r="K169" s="10">
        <v>993.60013000000004</v>
      </c>
      <c r="Q169" s="10">
        <v>719.13498428571415</v>
      </c>
      <c r="R169" s="10">
        <v>762.95992692307721</v>
      </c>
      <c r="S169" s="10">
        <v>800.3229037735847</v>
      </c>
      <c r="T169" s="10">
        <v>830.80149730769324</v>
      </c>
      <c r="U169" s="10">
        <v>853.05966769230815</v>
      </c>
      <c r="V169" s="10">
        <v>885.32463442307755</v>
      </c>
      <c r="W169" s="10">
        <v>907.8030834615389</v>
      </c>
      <c r="X169" s="10">
        <v>932.93360698113224</v>
      </c>
      <c r="Y169" s="10">
        <v>988.08446902439005</v>
      </c>
      <c r="Z169" s="11">
        <f t="shared" si="2"/>
        <v>0.22278191999999999</v>
      </c>
    </row>
    <row r="170" spans="1:26" x14ac:dyDescent="0.3">
      <c r="A170" t="s">
        <v>169</v>
      </c>
      <c r="B170" t="s">
        <v>1509</v>
      </c>
      <c r="C170" t="s">
        <v>1510</v>
      </c>
      <c r="D170" t="s">
        <v>1014</v>
      </c>
      <c r="E170" t="s">
        <v>1022</v>
      </c>
      <c r="F170" t="s">
        <v>1511</v>
      </c>
      <c r="G170" t="s">
        <v>1512</v>
      </c>
      <c r="H170" s="13">
        <v>5248786</v>
      </c>
      <c r="I170" s="14">
        <v>82097895.159999996</v>
      </c>
      <c r="J170" t="s">
        <v>1052</v>
      </c>
      <c r="K170" s="10">
        <v>16.200050000000001</v>
      </c>
      <c r="T170" s="10">
        <v>14.005334062499999</v>
      </c>
      <c r="U170" s="10">
        <v>14.16901884615385</v>
      </c>
      <c r="V170" s="10">
        <v>14.69869576923076</v>
      </c>
      <c r="W170" s="10">
        <v>15.17088173076923</v>
      </c>
      <c r="X170" s="10">
        <v>15.59842283018869</v>
      </c>
      <c r="Y170" s="10">
        <v>16.19742658536585</v>
      </c>
      <c r="Z170" s="11" t="str">
        <f t="shared" si="2"/>
        <v/>
      </c>
    </row>
    <row r="171" spans="1:26" x14ac:dyDescent="0.3">
      <c r="A171" t="s">
        <v>170</v>
      </c>
      <c r="B171" t="s">
        <v>1513</v>
      </c>
      <c r="C171" t="s">
        <v>1514</v>
      </c>
      <c r="D171" t="s">
        <v>1014</v>
      </c>
      <c r="E171" t="s">
        <v>1021</v>
      </c>
      <c r="F171" t="s">
        <v>1096</v>
      </c>
      <c r="G171" t="s">
        <v>1515</v>
      </c>
      <c r="H171" s="13">
        <v>1484703.2</v>
      </c>
      <c r="I171" s="14">
        <v>81763377.879999995</v>
      </c>
      <c r="J171" t="s">
        <v>1052</v>
      </c>
      <c r="K171" s="10">
        <v>11.832000000000001</v>
      </c>
      <c r="X171" s="10">
        <v>11.49402698113207</v>
      </c>
      <c r="Y171" s="10">
        <v>11.826270975609759</v>
      </c>
      <c r="Z171" s="11" t="str">
        <f t="shared" si="2"/>
        <v/>
      </c>
    </row>
    <row r="172" spans="1:26" x14ac:dyDescent="0.3">
      <c r="A172" t="s">
        <v>171</v>
      </c>
      <c r="B172" t="s">
        <v>1516</v>
      </c>
      <c r="C172" t="s">
        <v>1517</v>
      </c>
      <c r="D172" t="s">
        <v>1014</v>
      </c>
      <c r="E172" t="s">
        <v>1027</v>
      </c>
      <c r="F172" t="s">
        <v>1131</v>
      </c>
      <c r="G172" t="s">
        <v>1132</v>
      </c>
      <c r="H172" s="13">
        <v>29863.996999999999</v>
      </c>
      <c r="I172" s="14">
        <v>81037658.950000003</v>
      </c>
      <c r="J172" t="s">
        <v>1052</v>
      </c>
      <c r="K172" s="10">
        <v>2857.76593</v>
      </c>
      <c r="X172" s="10">
        <v>2775.2646383333331</v>
      </c>
      <c r="Y172" s="10">
        <v>2855.6153602439008</v>
      </c>
      <c r="Z172" s="11" t="str">
        <f t="shared" si="2"/>
        <v/>
      </c>
    </row>
    <row r="173" spans="1:26" x14ac:dyDescent="0.3">
      <c r="A173" t="s">
        <v>172</v>
      </c>
      <c r="B173" t="s">
        <v>1518</v>
      </c>
      <c r="C173" t="s">
        <v>1519</v>
      </c>
      <c r="D173" t="s">
        <v>1014</v>
      </c>
      <c r="E173" t="s">
        <v>1018</v>
      </c>
      <c r="F173" t="s">
        <v>1106</v>
      </c>
      <c r="G173" t="s">
        <v>1520</v>
      </c>
      <c r="H173" s="13">
        <v>10542639</v>
      </c>
      <c r="I173" s="14">
        <v>78594897.400000006</v>
      </c>
      <c r="J173" t="s">
        <v>1052</v>
      </c>
      <c r="K173" s="10">
        <v>7.4204499999999998</v>
      </c>
      <c r="M173" s="10">
        <v>3.9929209433962249</v>
      </c>
      <c r="N173" s="10">
        <v>4.4837815384615389</v>
      </c>
      <c r="O173" s="10">
        <v>4.9490788461538449</v>
      </c>
      <c r="P173" s="10">
        <v>5.3167805769230752</v>
      </c>
      <c r="Q173" s="10">
        <v>5.6414715384615404</v>
      </c>
      <c r="R173" s="10">
        <v>5.9837192307692328</v>
      </c>
      <c r="S173" s="10">
        <v>6.209564150943395</v>
      </c>
      <c r="T173" s="10">
        <v>6.5260438461538417</v>
      </c>
      <c r="U173" s="10">
        <v>6.7910228846153791</v>
      </c>
      <c r="V173" s="10">
        <v>6.9958724999999946</v>
      </c>
      <c r="W173" s="10">
        <v>7.2108298076923063</v>
      </c>
      <c r="X173" s="10">
        <v>7.4187999999999956</v>
      </c>
      <c r="Y173" s="10">
        <v>7.4212721951219516</v>
      </c>
      <c r="Z173" s="11">
        <f t="shared" si="2"/>
        <v>0.23983090000000001</v>
      </c>
    </row>
    <row r="174" spans="1:26" x14ac:dyDescent="0.3">
      <c r="A174" t="s">
        <v>173</v>
      </c>
      <c r="B174" t="s">
        <v>1521</v>
      </c>
      <c r="C174" t="s">
        <v>1522</v>
      </c>
      <c r="D174" t="s">
        <v>1014</v>
      </c>
      <c r="E174" t="s">
        <v>1027</v>
      </c>
      <c r="F174" t="s">
        <v>1382</v>
      </c>
      <c r="G174" t="s">
        <v>1523</v>
      </c>
      <c r="H174" s="13">
        <v>8783.8729999999996</v>
      </c>
      <c r="I174" s="14">
        <v>78549817.689999998</v>
      </c>
      <c r="J174" t="s">
        <v>1061</v>
      </c>
      <c r="K174" s="10">
        <v>9329.0047599999998</v>
      </c>
      <c r="W174" s="10">
        <v>8776.4538515624954</v>
      </c>
      <c r="X174" s="10">
        <v>9035.2682847169835</v>
      </c>
      <c r="Y174" s="10">
        <v>9358.0286775609748</v>
      </c>
      <c r="Z174" s="11" t="str">
        <f t="shared" si="2"/>
        <v/>
      </c>
    </row>
    <row r="175" spans="1:26" x14ac:dyDescent="0.3">
      <c r="A175" t="s">
        <v>174</v>
      </c>
      <c r="B175" t="s">
        <v>1524</v>
      </c>
      <c r="C175" t="s">
        <v>1525</v>
      </c>
      <c r="D175" t="s">
        <v>1014</v>
      </c>
      <c r="E175" t="s">
        <v>1020</v>
      </c>
      <c r="F175" t="s">
        <v>1055</v>
      </c>
      <c r="G175" t="s">
        <v>1526</v>
      </c>
      <c r="H175" s="13">
        <v>11891834.713</v>
      </c>
      <c r="I175" s="14">
        <v>78395974.739999995</v>
      </c>
      <c r="J175" t="s">
        <v>1052</v>
      </c>
      <c r="K175" s="10">
        <v>6.76607</v>
      </c>
      <c r="M175" s="10">
        <v>3.0295605660377358</v>
      </c>
      <c r="N175" s="10">
        <v>3.3624565384615401</v>
      </c>
      <c r="O175" s="10">
        <v>3.700964999999997</v>
      </c>
      <c r="P175" s="10">
        <v>4.0185767307692339</v>
      </c>
      <c r="Q175" s="10">
        <v>4.4033736538461516</v>
      </c>
      <c r="R175" s="10">
        <v>4.8083167307692296</v>
      </c>
      <c r="S175" s="10">
        <v>5.0541222641509416</v>
      </c>
      <c r="T175" s="10">
        <v>5.3028028846153807</v>
      </c>
      <c r="U175" s="10">
        <v>5.5636015384615369</v>
      </c>
      <c r="V175" s="10">
        <v>5.8564815384615319</v>
      </c>
      <c r="W175" s="10">
        <v>6.149139615384617</v>
      </c>
      <c r="X175" s="10">
        <v>6.4468986792452867</v>
      </c>
      <c r="Y175" s="10">
        <v>6.761217804878048</v>
      </c>
      <c r="Z175" s="11">
        <f t="shared" si="2"/>
        <v>0.34078078000000001</v>
      </c>
    </row>
    <row r="176" spans="1:26" x14ac:dyDescent="0.3">
      <c r="A176" t="s">
        <v>175</v>
      </c>
      <c r="B176" t="s">
        <v>1527</v>
      </c>
      <c r="C176" t="s">
        <v>1528</v>
      </c>
      <c r="D176" t="s">
        <v>1014</v>
      </c>
      <c r="E176" t="s">
        <v>1020</v>
      </c>
      <c r="F176" t="s">
        <v>1529</v>
      </c>
      <c r="G176" t="s">
        <v>1530</v>
      </c>
      <c r="H176" s="13">
        <v>11454731.460000001</v>
      </c>
      <c r="I176" s="14">
        <v>77776550.310000002</v>
      </c>
      <c r="J176" t="s">
        <v>1052</v>
      </c>
      <c r="K176" s="10">
        <v>6.6125299999999996</v>
      </c>
      <c r="S176" s="10">
        <v>6.6239312000000004</v>
      </c>
      <c r="T176" s="10">
        <v>6.6456523076923064</v>
      </c>
      <c r="U176" s="10">
        <v>6.6413269230769192</v>
      </c>
      <c r="V176" s="10">
        <v>6.6384823076923087</v>
      </c>
      <c r="W176" s="10">
        <v>6.6422905769230756</v>
      </c>
      <c r="X176" s="10">
        <v>6.6275420754716956</v>
      </c>
      <c r="Y176" s="10">
        <v>6.6151397560975624</v>
      </c>
      <c r="Z176" s="11" t="str">
        <f t="shared" si="2"/>
        <v/>
      </c>
    </row>
    <row r="177" spans="1:26" x14ac:dyDescent="0.3">
      <c r="A177" t="s">
        <v>176</v>
      </c>
      <c r="B177" t="s">
        <v>1531</v>
      </c>
      <c r="C177" t="s">
        <v>1532</v>
      </c>
      <c r="D177" t="s">
        <v>1014</v>
      </c>
      <c r="E177" t="s">
        <v>1027</v>
      </c>
      <c r="F177" t="s">
        <v>1068</v>
      </c>
      <c r="G177" t="s">
        <v>1533</v>
      </c>
      <c r="H177" s="13">
        <v>18942.083999999999</v>
      </c>
      <c r="I177" s="14">
        <v>77719995.689999998</v>
      </c>
      <c r="J177" t="s">
        <v>1061</v>
      </c>
      <c r="K177" s="10">
        <v>4233.4015099999997</v>
      </c>
      <c r="X177" s="10">
        <v>4130.2277701886842</v>
      </c>
      <c r="Y177" s="10">
        <v>4230.9815014634114</v>
      </c>
      <c r="Z177" s="11" t="str">
        <f t="shared" si="2"/>
        <v/>
      </c>
    </row>
    <row r="178" spans="1:26" x14ac:dyDescent="0.3">
      <c r="A178" t="s">
        <v>177</v>
      </c>
      <c r="B178" t="s">
        <v>1534</v>
      </c>
      <c r="C178" t="s">
        <v>1535</v>
      </c>
      <c r="D178" t="s">
        <v>1014</v>
      </c>
      <c r="E178" t="s">
        <v>1027</v>
      </c>
      <c r="F178" t="s">
        <v>1536</v>
      </c>
      <c r="G178" t="s">
        <v>1537</v>
      </c>
      <c r="H178" s="13">
        <v>1940685.3030000001</v>
      </c>
      <c r="I178" s="14">
        <v>75114430.780000001</v>
      </c>
      <c r="J178" t="s">
        <v>1052</v>
      </c>
      <c r="K178" s="10">
        <v>39.877499999999998</v>
      </c>
      <c r="T178" s="10">
        <v>32.90670999999999</v>
      </c>
      <c r="U178" s="10">
        <v>33.893919999999987</v>
      </c>
      <c r="V178" s="10">
        <v>35.586528461538471</v>
      </c>
      <c r="W178" s="10">
        <v>37.692305576923083</v>
      </c>
      <c r="X178" s="10">
        <v>38.737119811320731</v>
      </c>
      <c r="Y178" s="10">
        <v>39.899588292682921</v>
      </c>
      <c r="Z178" s="11" t="str">
        <f t="shared" si="2"/>
        <v/>
      </c>
    </row>
    <row r="179" spans="1:26" x14ac:dyDescent="0.3">
      <c r="A179" t="s">
        <v>178</v>
      </c>
      <c r="B179" t="s">
        <v>1538</v>
      </c>
      <c r="C179" t="s">
        <v>1539</v>
      </c>
      <c r="D179" t="s">
        <v>1014</v>
      </c>
      <c r="E179" t="s">
        <v>1025</v>
      </c>
      <c r="F179" t="s">
        <v>1068</v>
      </c>
      <c r="G179" t="s">
        <v>1200</v>
      </c>
      <c r="H179" s="13">
        <v>5521.42</v>
      </c>
      <c r="I179" s="14">
        <v>74936274.5</v>
      </c>
      <c r="J179" t="s">
        <v>1061</v>
      </c>
      <c r="K179" s="10">
        <v>14728.90533</v>
      </c>
      <c r="W179" s="10">
        <v>13356.460784285709</v>
      </c>
      <c r="X179" s="10">
        <v>13986.04703981133</v>
      </c>
      <c r="Y179" s="10">
        <v>14670.93838487804</v>
      </c>
      <c r="Z179" s="11" t="str">
        <f t="shared" si="2"/>
        <v/>
      </c>
    </row>
    <row r="180" spans="1:26" x14ac:dyDescent="0.3">
      <c r="A180" t="s">
        <v>179</v>
      </c>
      <c r="B180" t="s">
        <v>1540</v>
      </c>
      <c r="C180" t="s">
        <v>1541</v>
      </c>
      <c r="D180" t="s">
        <v>1014</v>
      </c>
      <c r="E180" t="s">
        <v>1027</v>
      </c>
      <c r="F180" t="s">
        <v>1270</v>
      </c>
      <c r="G180" t="s">
        <v>1467</v>
      </c>
      <c r="H180" s="13">
        <v>4406513.51</v>
      </c>
      <c r="I180" s="14">
        <v>72947076.989999995</v>
      </c>
      <c r="J180" t="s">
        <v>1052</v>
      </c>
      <c r="K180" s="10">
        <v>17.197379999999999</v>
      </c>
      <c r="O180" s="10">
        <v>10.185688000000001</v>
      </c>
      <c r="P180" s="10">
        <v>11.0833923076923</v>
      </c>
      <c r="Q180" s="10">
        <v>12.06555192307693</v>
      </c>
      <c r="R180" s="10">
        <v>12.2495423076923</v>
      </c>
      <c r="S180" s="10">
        <v>12.832970566037741</v>
      </c>
      <c r="T180" s="10">
        <v>13.515612884615379</v>
      </c>
      <c r="U180" s="10">
        <v>14.19849576923076</v>
      </c>
      <c r="V180" s="10">
        <v>14.9037251923077</v>
      </c>
      <c r="W180" s="10">
        <v>15.65021461538463</v>
      </c>
      <c r="X180" s="10">
        <v>16.401532452830178</v>
      </c>
      <c r="Y180" s="10">
        <v>17.21789341463414</v>
      </c>
      <c r="Z180" s="11">
        <f t="shared" si="2"/>
        <v>0.33895064000000003</v>
      </c>
    </row>
    <row r="181" spans="1:26" x14ac:dyDescent="0.3">
      <c r="A181" t="s">
        <v>180</v>
      </c>
      <c r="B181" t="s">
        <v>1542</v>
      </c>
      <c r="C181" t="s">
        <v>1543</v>
      </c>
      <c r="D181" t="s">
        <v>1014</v>
      </c>
      <c r="E181" t="s">
        <v>1019</v>
      </c>
      <c r="F181" t="s">
        <v>1123</v>
      </c>
      <c r="G181" t="s">
        <v>1544</v>
      </c>
      <c r="H181" s="13">
        <v>1066294.7250000001</v>
      </c>
      <c r="I181" s="14">
        <v>72675922.799999997</v>
      </c>
      <c r="J181" t="s">
        <v>1061</v>
      </c>
      <c r="K181" s="10">
        <v>20.310120000000001</v>
      </c>
      <c r="O181" s="10">
        <v>60.961569615384633</v>
      </c>
      <c r="P181" s="10">
        <v>66.274041153846127</v>
      </c>
      <c r="Q181" s="10">
        <v>67.955183461538411</v>
      </c>
      <c r="R181" s="10">
        <v>68.043831153846128</v>
      </c>
      <c r="S181" s="10">
        <v>67.894855660377374</v>
      </c>
      <c r="T181" s="10">
        <v>67.844971538461564</v>
      </c>
      <c r="U181" s="10">
        <v>67.871886153846148</v>
      </c>
      <c r="V181" s="10">
        <v>67.857674423076901</v>
      </c>
      <c r="W181" s="10">
        <v>67.819494230769223</v>
      </c>
      <c r="X181" s="10">
        <v>67.80463320754717</v>
      </c>
      <c r="Y181" s="10">
        <v>23.79219975609756</v>
      </c>
      <c r="Z181" s="11">
        <f t="shared" si="2"/>
        <v>-3.51535E-3</v>
      </c>
    </row>
    <row r="182" spans="1:26" x14ac:dyDescent="0.3">
      <c r="A182" t="s">
        <v>181</v>
      </c>
      <c r="B182" t="s">
        <v>1545</v>
      </c>
      <c r="C182" t="s">
        <v>1546</v>
      </c>
      <c r="D182" t="s">
        <v>1014</v>
      </c>
      <c r="E182" t="s">
        <v>1027</v>
      </c>
      <c r="F182" t="s">
        <v>1068</v>
      </c>
      <c r="G182" t="s">
        <v>1428</v>
      </c>
      <c r="H182" s="13">
        <v>5589310</v>
      </c>
      <c r="I182" s="14">
        <v>71919610.579999998</v>
      </c>
      <c r="J182" t="s">
        <v>1052</v>
      </c>
      <c r="K182" s="10">
        <v>12.654260000000001</v>
      </c>
      <c r="M182" s="10">
        <v>7.5652154716981217</v>
      </c>
      <c r="N182" s="10">
        <v>8.3198969230769269</v>
      </c>
      <c r="O182" s="10">
        <v>9.0103194230769219</v>
      </c>
      <c r="P182" s="10">
        <v>9.782221538461533</v>
      </c>
      <c r="Q182" s="10">
        <v>10.63274980769231</v>
      </c>
      <c r="R182" s="10">
        <v>11.32283999999999</v>
      </c>
      <c r="S182" s="10">
        <v>11.578005660377359</v>
      </c>
      <c r="T182" s="10">
        <v>11.81877557692308</v>
      </c>
      <c r="U182" s="10">
        <v>12.415631346153839</v>
      </c>
      <c r="V182" s="10">
        <v>12.670256923076931</v>
      </c>
      <c r="W182" s="10">
        <v>12.64856692307692</v>
      </c>
      <c r="X182" s="10">
        <v>12.66097150943396</v>
      </c>
      <c r="Y182" s="10">
        <v>12.650104878048779</v>
      </c>
      <c r="Z182" s="11">
        <f t="shared" si="2"/>
        <v>0.11817985</v>
      </c>
    </row>
    <row r="183" spans="1:26" x14ac:dyDescent="0.3">
      <c r="A183" t="s">
        <v>182</v>
      </c>
      <c r="B183" t="s">
        <v>1547</v>
      </c>
      <c r="C183" t="s">
        <v>1548</v>
      </c>
      <c r="D183" t="s">
        <v>1014</v>
      </c>
      <c r="E183" t="s">
        <v>1027</v>
      </c>
      <c r="F183" t="s">
        <v>1068</v>
      </c>
      <c r="G183" t="s">
        <v>1428</v>
      </c>
      <c r="H183" s="13">
        <v>4989232</v>
      </c>
      <c r="I183" s="14">
        <v>71868055.310000002</v>
      </c>
      <c r="J183" t="s">
        <v>1052</v>
      </c>
      <c r="K183" s="10">
        <v>14.17967</v>
      </c>
      <c r="M183" s="10">
        <v>8.4195250943396243</v>
      </c>
      <c r="N183" s="10">
        <v>9.2290730769230738</v>
      </c>
      <c r="O183" s="10">
        <v>10.230605576923081</v>
      </c>
      <c r="P183" s="10">
        <v>10.928827500000009</v>
      </c>
      <c r="Q183" s="10">
        <v>12.00242134615385</v>
      </c>
      <c r="R183" s="10">
        <v>12.70716615384616</v>
      </c>
      <c r="S183" s="10">
        <v>13.001308679245289</v>
      </c>
      <c r="T183" s="10">
        <v>13.289989807692301</v>
      </c>
      <c r="U183" s="10">
        <v>13.918170961538459</v>
      </c>
      <c r="V183" s="10">
        <v>14.20626384615383</v>
      </c>
      <c r="W183" s="10">
        <v>14.19689903846154</v>
      </c>
      <c r="X183" s="10">
        <v>14.209748490566041</v>
      </c>
      <c r="Y183" s="10">
        <v>14.185514878048791</v>
      </c>
      <c r="Z183" s="11">
        <f t="shared" si="2"/>
        <v>0.11824685</v>
      </c>
    </row>
    <row r="184" spans="1:26" x14ac:dyDescent="0.3">
      <c r="A184" t="s">
        <v>183</v>
      </c>
      <c r="B184" t="s">
        <v>1549</v>
      </c>
      <c r="C184" t="s">
        <v>1550</v>
      </c>
      <c r="D184" t="s">
        <v>1015</v>
      </c>
      <c r="E184" t="s">
        <v>1032</v>
      </c>
      <c r="F184" t="s">
        <v>1551</v>
      </c>
      <c r="G184" t="s">
        <v>1552</v>
      </c>
      <c r="H184" s="13">
        <v>75445752.621000007</v>
      </c>
      <c r="I184" s="14">
        <v>71695793.480000004</v>
      </c>
      <c r="J184" t="s">
        <v>1163</v>
      </c>
      <c r="K184" s="10">
        <v>0.44508999999999999</v>
      </c>
      <c r="M184" s="10">
        <v>0.44276641509433939</v>
      </c>
      <c r="N184" s="10">
        <v>0.3296921153846154</v>
      </c>
      <c r="O184" s="10">
        <v>0.26135153846153841</v>
      </c>
      <c r="P184" s="10">
        <v>0.26161019230769228</v>
      </c>
      <c r="Q184" s="10">
        <v>0.2519907692307693</v>
      </c>
      <c r="R184" s="10">
        <v>0.36205307692307692</v>
      </c>
      <c r="S184" s="10">
        <v>0.3184800000000001</v>
      </c>
      <c r="T184" s="10">
        <v>0.29647538461538459</v>
      </c>
      <c r="U184" s="10">
        <v>0.27951884615384631</v>
      </c>
      <c r="V184" s="10">
        <v>0.31438846153846162</v>
      </c>
      <c r="W184" s="10">
        <v>0.40188269230769252</v>
      </c>
      <c r="X184" s="10">
        <v>0.45118415094339631</v>
      </c>
      <c r="Y184" s="10">
        <v>0.44506487804878059</v>
      </c>
      <c r="Z184" s="11">
        <f t="shared" si="2"/>
        <v>0.24618234</v>
      </c>
    </row>
    <row r="185" spans="1:26" x14ac:dyDescent="0.3">
      <c r="A185" t="s">
        <v>184</v>
      </c>
      <c r="B185" t="s">
        <v>1553</v>
      </c>
      <c r="C185" t="s">
        <v>1554</v>
      </c>
      <c r="D185" t="s">
        <v>1014</v>
      </c>
      <c r="E185" t="s">
        <v>1027</v>
      </c>
      <c r="F185" t="s">
        <v>1382</v>
      </c>
      <c r="G185" t="s">
        <v>1555</v>
      </c>
      <c r="H185" s="13">
        <v>176327</v>
      </c>
      <c r="I185" s="14">
        <v>70627252.739999995</v>
      </c>
      <c r="J185" t="s">
        <v>1052</v>
      </c>
      <c r="K185" s="10">
        <v>416.75608999999997</v>
      </c>
      <c r="X185" s="10">
        <v>396.96077339622622</v>
      </c>
      <c r="Y185" s="10">
        <v>418.00804292682932</v>
      </c>
      <c r="Z185" s="11" t="str">
        <f t="shared" si="2"/>
        <v/>
      </c>
    </row>
    <row r="186" spans="1:26" x14ac:dyDescent="0.3">
      <c r="A186" t="s">
        <v>185</v>
      </c>
      <c r="B186" t="s">
        <v>1556</v>
      </c>
      <c r="C186" t="s">
        <v>1557</v>
      </c>
      <c r="D186" t="s">
        <v>1014</v>
      </c>
      <c r="E186" t="s">
        <v>1027</v>
      </c>
      <c r="F186" t="s">
        <v>1131</v>
      </c>
      <c r="G186" t="s">
        <v>1330</v>
      </c>
      <c r="H186" s="13">
        <v>1453511.5</v>
      </c>
      <c r="I186" s="14">
        <v>70492460.799999997</v>
      </c>
      <c r="J186" t="s">
        <v>1052</v>
      </c>
      <c r="K186" s="10">
        <v>49.509070000000001</v>
      </c>
      <c r="O186" s="10">
        <v>29.878749999999989</v>
      </c>
      <c r="P186" s="10">
        <v>31.55489576923075</v>
      </c>
      <c r="Q186" s="10">
        <v>34.489134999999997</v>
      </c>
      <c r="R186" s="10">
        <v>36.65503173076921</v>
      </c>
      <c r="S186" s="10">
        <v>37.251507169811333</v>
      </c>
      <c r="T186" s="10">
        <v>39.668383846153823</v>
      </c>
      <c r="U186" s="10">
        <v>42.459417115384653</v>
      </c>
      <c r="V186" s="10">
        <v>45.19221269230772</v>
      </c>
      <c r="W186" s="10">
        <v>46.877432884615388</v>
      </c>
      <c r="X186" s="10">
        <v>48.330439056603737</v>
      </c>
      <c r="Y186" s="10">
        <v>49.545776585365857</v>
      </c>
      <c r="Z186" s="11">
        <f t="shared" si="2"/>
        <v>0.31852127000000002</v>
      </c>
    </row>
    <row r="187" spans="1:26" x14ac:dyDescent="0.3">
      <c r="A187" t="s">
        <v>186</v>
      </c>
      <c r="B187" t="s">
        <v>1558</v>
      </c>
      <c r="C187" t="s">
        <v>1517</v>
      </c>
      <c r="D187" t="s">
        <v>1014</v>
      </c>
      <c r="E187" t="s">
        <v>1027</v>
      </c>
      <c r="F187" t="s">
        <v>1131</v>
      </c>
      <c r="G187" t="s">
        <v>1559</v>
      </c>
      <c r="H187" s="13">
        <v>25381.938999999998</v>
      </c>
      <c r="I187" s="14">
        <v>70116110.799999997</v>
      </c>
      <c r="J187" t="s">
        <v>1052</v>
      </c>
      <c r="K187" s="10">
        <v>2857.76593</v>
      </c>
      <c r="M187" s="10">
        <v>1475.893741509434</v>
      </c>
      <c r="N187" s="10">
        <v>1573.996776346153</v>
      </c>
      <c r="O187" s="10">
        <v>1702.0762907692299</v>
      </c>
      <c r="P187" s="10">
        <v>1840.1731280769241</v>
      </c>
      <c r="Q187" s="10">
        <v>2028.1788449999999</v>
      </c>
      <c r="R187" s="10">
        <v>2150.0268765384608</v>
      </c>
      <c r="S187" s="10">
        <v>2177.5299849056591</v>
      </c>
      <c r="T187" s="10">
        <v>2283.8471588461521</v>
      </c>
      <c r="U187" s="10">
        <v>2436.7290103846171</v>
      </c>
      <c r="V187" s="10">
        <v>2595.644382115383</v>
      </c>
      <c r="W187" s="10">
        <v>2692.6810026923081</v>
      </c>
      <c r="X187" s="10">
        <v>2773.5226650943409</v>
      </c>
      <c r="Y187" s="10">
        <v>2855.6153602439008</v>
      </c>
      <c r="Z187" s="11">
        <f t="shared" si="2"/>
        <v>0.28999441999999997</v>
      </c>
    </row>
    <row r="188" spans="1:26" x14ac:dyDescent="0.3">
      <c r="A188" t="s">
        <v>187</v>
      </c>
      <c r="B188" t="s">
        <v>1560</v>
      </c>
      <c r="C188" t="s">
        <v>1247</v>
      </c>
      <c r="D188" t="s">
        <v>1014</v>
      </c>
      <c r="E188" t="s">
        <v>1027</v>
      </c>
      <c r="F188" t="s">
        <v>1055</v>
      </c>
      <c r="G188" t="s">
        <v>1248</v>
      </c>
      <c r="H188" s="13">
        <v>672011</v>
      </c>
      <c r="I188" s="14">
        <v>69927942.030000001</v>
      </c>
      <c r="J188" t="s">
        <v>1052</v>
      </c>
      <c r="K188" s="10">
        <v>109.10704</v>
      </c>
      <c r="U188" s="10">
        <v>90.074939999999984</v>
      </c>
      <c r="V188" s="10">
        <v>94.443253653846128</v>
      </c>
      <c r="W188" s="10">
        <v>99.10138788461532</v>
      </c>
      <c r="X188" s="10">
        <v>103.915168490566</v>
      </c>
      <c r="Y188" s="10">
        <v>109.0425365853658</v>
      </c>
      <c r="Z188" s="11" t="str">
        <f t="shared" si="2"/>
        <v/>
      </c>
    </row>
    <row r="189" spans="1:26" x14ac:dyDescent="0.3">
      <c r="A189" t="s">
        <v>188</v>
      </c>
      <c r="B189" t="s">
        <v>1561</v>
      </c>
      <c r="C189" t="s">
        <v>1562</v>
      </c>
      <c r="D189" t="s">
        <v>1014</v>
      </c>
      <c r="E189" t="s">
        <v>1032</v>
      </c>
      <c r="F189" t="s">
        <v>1081</v>
      </c>
      <c r="G189" t="s">
        <v>1563</v>
      </c>
      <c r="H189" s="13">
        <v>595605</v>
      </c>
      <c r="I189" s="14">
        <v>69478543.120000005</v>
      </c>
      <c r="J189" t="s">
        <v>1163</v>
      </c>
      <c r="K189" s="10">
        <v>115.80015</v>
      </c>
      <c r="O189" s="10">
        <v>76.260004807692269</v>
      </c>
      <c r="P189" s="10">
        <v>81.749071730769259</v>
      </c>
      <c r="Q189" s="10">
        <v>88.051035142857131</v>
      </c>
      <c r="U189" s="10">
        <v>109.3869199999999</v>
      </c>
      <c r="V189" s="10">
        <v>112.6234686538461</v>
      </c>
      <c r="W189" s="10">
        <v>115.94032653846151</v>
      </c>
      <c r="X189" s="10">
        <v>115.8852858490566</v>
      </c>
      <c r="Y189" s="10">
        <v>115.8302480487805</v>
      </c>
      <c r="Z189" s="11" t="str">
        <f t="shared" si="2"/>
        <v/>
      </c>
    </row>
    <row r="190" spans="1:26" x14ac:dyDescent="0.3">
      <c r="A190" t="s">
        <v>189</v>
      </c>
      <c r="B190" t="s">
        <v>1564</v>
      </c>
      <c r="C190" t="s">
        <v>1565</v>
      </c>
      <c r="D190" t="s">
        <v>1014</v>
      </c>
      <c r="E190" t="s">
        <v>1026</v>
      </c>
      <c r="F190" t="s">
        <v>1114</v>
      </c>
      <c r="G190" t="s">
        <v>1566</v>
      </c>
      <c r="H190" s="13">
        <v>1460485</v>
      </c>
      <c r="I190" s="14">
        <v>69274006.349999994</v>
      </c>
      <c r="J190" t="s">
        <v>1052</v>
      </c>
      <c r="K190" s="10">
        <v>49.237119999999997</v>
      </c>
      <c r="X190" s="10">
        <v>47.917939500000017</v>
      </c>
      <c r="Y190" s="10">
        <v>49.265096097560978</v>
      </c>
      <c r="Z190" s="11" t="str">
        <f t="shared" si="2"/>
        <v/>
      </c>
    </row>
    <row r="191" spans="1:26" x14ac:dyDescent="0.3">
      <c r="A191" t="s">
        <v>190</v>
      </c>
      <c r="B191" t="s">
        <v>1567</v>
      </c>
      <c r="C191" t="s">
        <v>1568</v>
      </c>
      <c r="D191" t="s">
        <v>1014</v>
      </c>
      <c r="E191" t="s">
        <v>1025</v>
      </c>
      <c r="F191" t="s">
        <v>1092</v>
      </c>
      <c r="G191" t="s">
        <v>1093</v>
      </c>
      <c r="H191" s="13">
        <v>34942</v>
      </c>
      <c r="I191" s="14">
        <v>68818208.650000006</v>
      </c>
      <c r="J191" t="s">
        <v>1061</v>
      </c>
      <c r="K191" s="10">
        <v>2080.9949999999999</v>
      </c>
      <c r="S191" s="10">
        <v>1355.219008571428</v>
      </c>
      <c r="T191" s="10">
        <v>1446.6664259615391</v>
      </c>
      <c r="U191" s="10">
        <v>1569.2347596153829</v>
      </c>
      <c r="V191" s="10">
        <v>1712.8347098076911</v>
      </c>
      <c r="W191" s="10">
        <v>1813.5760900000021</v>
      </c>
      <c r="X191" s="10">
        <v>1977.1222039622651</v>
      </c>
      <c r="Y191" s="10">
        <v>2079.0225599999999</v>
      </c>
      <c r="Z191" s="11" t="str">
        <f t="shared" si="2"/>
        <v/>
      </c>
    </row>
    <row r="192" spans="1:26" x14ac:dyDescent="0.3">
      <c r="A192" t="s">
        <v>191</v>
      </c>
      <c r="B192" t="s">
        <v>1569</v>
      </c>
      <c r="C192" t="s">
        <v>1570</v>
      </c>
      <c r="D192" t="s">
        <v>1015</v>
      </c>
      <c r="E192" t="s">
        <v>1030</v>
      </c>
      <c r="F192" t="s">
        <v>1571</v>
      </c>
      <c r="G192" t="s">
        <v>1572</v>
      </c>
      <c r="H192" s="13">
        <v>30370370.199999999</v>
      </c>
      <c r="I192" s="14">
        <v>68072930.700000003</v>
      </c>
      <c r="J192" t="s">
        <v>1052</v>
      </c>
      <c r="K192" s="10">
        <v>1.99779</v>
      </c>
      <c r="M192" s="10">
        <v>6.8218015000000012</v>
      </c>
      <c r="N192" s="10">
        <v>6.0111105769230786</v>
      </c>
      <c r="O192" s="10">
        <v>3.8489948076923071</v>
      </c>
      <c r="P192" s="10">
        <v>3.0486857692307692</v>
      </c>
      <c r="Q192" s="10">
        <v>2.7745444230769229</v>
      </c>
      <c r="R192" s="10">
        <v>2.6766340384615388</v>
      </c>
      <c r="S192" s="10">
        <v>2.5136201886792451</v>
      </c>
      <c r="T192" s="10">
        <v>2.1287344230769238</v>
      </c>
      <c r="U192" s="10">
        <v>1.9424671153846149</v>
      </c>
      <c r="V192" s="10">
        <v>1.815684807692308</v>
      </c>
      <c r="W192" s="10">
        <v>1.8660769230769241</v>
      </c>
      <c r="X192" s="10">
        <v>2.0613664150943389</v>
      </c>
      <c r="Y192" s="10">
        <v>2.0145675609756091</v>
      </c>
      <c r="Z192" s="11">
        <f t="shared" si="2"/>
        <v>-0.22986617000000001</v>
      </c>
    </row>
    <row r="193" spans="1:26" x14ac:dyDescent="0.3">
      <c r="A193" t="s">
        <v>192</v>
      </c>
      <c r="B193" t="s">
        <v>1573</v>
      </c>
      <c r="C193" t="s">
        <v>1574</v>
      </c>
      <c r="D193" t="s">
        <v>1014</v>
      </c>
      <c r="E193" t="s">
        <v>1020</v>
      </c>
      <c r="F193" t="s">
        <v>1092</v>
      </c>
      <c r="G193" t="s">
        <v>1575</v>
      </c>
      <c r="H193" s="13">
        <v>40464.616000000002</v>
      </c>
      <c r="I193" s="14">
        <v>67998695.530000001</v>
      </c>
      <c r="J193" t="s">
        <v>1061</v>
      </c>
      <c r="K193" s="10">
        <v>2001.5167799999999</v>
      </c>
      <c r="M193" s="10">
        <v>979.96881169811263</v>
      </c>
      <c r="N193" s="10">
        <v>1002.50588</v>
      </c>
      <c r="X193" s="10">
        <v>1943.22018</v>
      </c>
      <c r="Y193" s="10">
        <v>2000.0949117073169</v>
      </c>
      <c r="Z193" s="11" t="str">
        <f t="shared" si="2"/>
        <v/>
      </c>
    </row>
    <row r="194" spans="1:26" x14ac:dyDescent="0.3">
      <c r="A194" t="s">
        <v>193</v>
      </c>
      <c r="B194" t="s">
        <v>1576</v>
      </c>
      <c r="C194" t="s">
        <v>1577</v>
      </c>
      <c r="D194" t="s">
        <v>1014</v>
      </c>
      <c r="E194" t="s">
        <v>1030</v>
      </c>
      <c r="F194" t="s">
        <v>1578</v>
      </c>
      <c r="G194" t="s">
        <v>1579</v>
      </c>
      <c r="H194" s="13">
        <v>5543276</v>
      </c>
      <c r="I194" s="14">
        <v>67773438.700000003</v>
      </c>
      <c r="J194" t="s">
        <v>1052</v>
      </c>
      <c r="K194" s="10">
        <v>12.30598</v>
      </c>
      <c r="R194" s="10">
        <v>8.6042531111111114</v>
      </c>
      <c r="S194" s="10">
        <v>9.0933315094339591</v>
      </c>
      <c r="T194" s="10">
        <v>9.4947896153846063</v>
      </c>
      <c r="U194" s="10">
        <v>9.7920734615384717</v>
      </c>
      <c r="V194" s="10">
        <v>10.67258076923077</v>
      </c>
      <c r="W194" s="10">
        <v>11.50541826923077</v>
      </c>
      <c r="X194" s="10">
        <v>12.002140188679251</v>
      </c>
      <c r="Y194" s="10">
        <v>12.30671658536585</v>
      </c>
      <c r="Z194" s="11">
        <f t="shared" ref="Z194:Z257" si="3">IF(AND(ISNUMBER(INDEX($L194:$Y194,MATCH(BaseYear,p_years,0))),ISNUMBER(INDEX($L194:$Y194,MATCH(EndYear,p_years,0)))),ROUND(INDEX($L194:$Y194,MATCH(EndYear,p_years,0))/INDEX($L194:$Y194,MATCH(BaseYear,p_years,0))-1,8),"")</f>
        <v>0.39490785</v>
      </c>
    </row>
    <row r="195" spans="1:26" x14ac:dyDescent="0.3">
      <c r="A195" t="s">
        <v>194</v>
      </c>
      <c r="B195" t="s">
        <v>1580</v>
      </c>
      <c r="C195" t="s">
        <v>1581</v>
      </c>
      <c r="D195" t="s">
        <v>1014</v>
      </c>
      <c r="E195" t="s">
        <v>1022</v>
      </c>
      <c r="F195" t="s">
        <v>1582</v>
      </c>
      <c r="G195" t="s">
        <v>1583</v>
      </c>
      <c r="H195" s="13">
        <v>2200528</v>
      </c>
      <c r="I195" s="14">
        <v>66482328.840000004</v>
      </c>
      <c r="J195" t="s">
        <v>1052</v>
      </c>
      <c r="K195" s="10">
        <v>32.544730000000001</v>
      </c>
      <c r="V195" s="10">
        <v>27.122086829268309</v>
      </c>
      <c r="W195" s="10">
        <v>28.54628365384616</v>
      </c>
      <c r="X195" s="10">
        <v>29.914614339622641</v>
      </c>
      <c r="Y195" s="10">
        <v>32.504346829268293</v>
      </c>
      <c r="Z195" s="11" t="str">
        <f t="shared" si="3"/>
        <v/>
      </c>
    </row>
    <row r="196" spans="1:26" x14ac:dyDescent="0.3">
      <c r="A196" t="s">
        <v>195</v>
      </c>
      <c r="B196" t="s">
        <v>1584</v>
      </c>
      <c r="C196" t="s">
        <v>1585</v>
      </c>
      <c r="D196" t="s">
        <v>1014</v>
      </c>
      <c r="E196" t="s">
        <v>1027</v>
      </c>
      <c r="F196" t="s">
        <v>1270</v>
      </c>
      <c r="G196" t="s">
        <v>1271</v>
      </c>
      <c r="H196" s="13">
        <v>5258019</v>
      </c>
      <c r="I196" s="14">
        <v>66434342.969999999</v>
      </c>
      <c r="J196" t="s">
        <v>1052</v>
      </c>
      <c r="K196" s="10">
        <v>12.349399999999999</v>
      </c>
      <c r="N196" s="10">
        <v>7.1794605405405409</v>
      </c>
      <c r="O196" s="10">
        <v>7.9734455769230781</v>
      </c>
      <c r="P196" s="10">
        <v>8.6882444230769273</v>
      </c>
      <c r="Q196" s="10">
        <v>9.4097026923076932</v>
      </c>
      <c r="R196" s="10">
        <v>9.6243615384615353</v>
      </c>
      <c r="S196" s="10">
        <v>10.18489056603774</v>
      </c>
      <c r="T196" s="10">
        <v>10.691877115384621</v>
      </c>
      <c r="U196" s="10">
        <v>11.216269230769219</v>
      </c>
      <c r="V196" s="10">
        <v>11.77436057692306</v>
      </c>
      <c r="W196" s="10">
        <v>12.375917499999989</v>
      </c>
      <c r="X196" s="10">
        <v>12.367084716981131</v>
      </c>
      <c r="Y196" s="10">
        <v>12.35136780487805</v>
      </c>
      <c r="Z196" s="11">
        <f t="shared" si="3"/>
        <v>0.28497716000000001</v>
      </c>
    </row>
    <row r="197" spans="1:26" x14ac:dyDescent="0.3">
      <c r="A197" t="s">
        <v>196</v>
      </c>
      <c r="B197" t="s">
        <v>1586</v>
      </c>
      <c r="C197" t="s">
        <v>1587</v>
      </c>
      <c r="D197" t="s">
        <v>1014</v>
      </c>
      <c r="E197" t="s">
        <v>1019</v>
      </c>
      <c r="F197" t="s">
        <v>1123</v>
      </c>
      <c r="G197" t="s">
        <v>1588</v>
      </c>
      <c r="H197" s="13">
        <v>721126.48</v>
      </c>
      <c r="I197" s="14">
        <v>66020480.850000001</v>
      </c>
      <c r="J197" t="s">
        <v>1061</v>
      </c>
      <c r="K197" s="10">
        <v>91.60736</v>
      </c>
      <c r="O197" s="10">
        <v>85.879869999999968</v>
      </c>
      <c r="P197" s="10">
        <v>90.004085000000032</v>
      </c>
      <c r="Q197" s="10">
        <v>92.045788653846188</v>
      </c>
      <c r="R197" s="10">
        <v>91.936867692307743</v>
      </c>
      <c r="S197" s="10">
        <v>91.68440245283017</v>
      </c>
      <c r="T197" s="10">
        <v>91.744046153846085</v>
      </c>
      <c r="U197" s="10">
        <v>91.826400961538482</v>
      </c>
      <c r="V197" s="10">
        <v>91.757747692307689</v>
      </c>
      <c r="W197" s="10">
        <v>91.730282307692292</v>
      </c>
      <c r="X197" s="10">
        <v>91.704552264150948</v>
      </c>
      <c r="Y197" s="10">
        <v>91.656298048780513</v>
      </c>
      <c r="Z197" s="11">
        <f t="shared" si="3"/>
        <v>-2.5268999999999999E-3</v>
      </c>
    </row>
    <row r="198" spans="1:26" x14ac:dyDescent="0.3">
      <c r="A198" t="s">
        <v>197</v>
      </c>
      <c r="B198" t="s">
        <v>1589</v>
      </c>
      <c r="C198" t="s">
        <v>1590</v>
      </c>
      <c r="D198" t="s">
        <v>1015</v>
      </c>
      <c r="E198" t="s">
        <v>1019</v>
      </c>
      <c r="F198" t="s">
        <v>1064</v>
      </c>
      <c r="G198" t="s">
        <v>1591</v>
      </c>
      <c r="H198" s="13">
        <v>7075458.2889999999</v>
      </c>
      <c r="I198" s="14">
        <v>65404465.579999998</v>
      </c>
      <c r="J198" t="s">
        <v>1061</v>
      </c>
      <c r="K198" s="10">
        <v>8.9606899999999996</v>
      </c>
      <c r="S198" s="10">
        <v>17.881154594594591</v>
      </c>
      <c r="T198" s="10">
        <v>17.86826846153847</v>
      </c>
      <c r="U198" s="10">
        <v>17.88638942307692</v>
      </c>
      <c r="V198" s="10">
        <v>17.895067115384609</v>
      </c>
      <c r="W198" s="10">
        <v>9.1262619230769282</v>
      </c>
      <c r="X198" s="10">
        <v>8.9552171698113217</v>
      </c>
      <c r="Y198" s="10">
        <v>8.9607914634146333</v>
      </c>
      <c r="Z198" s="11" t="str">
        <f t="shared" si="3"/>
        <v/>
      </c>
    </row>
    <row r="199" spans="1:26" x14ac:dyDescent="0.3">
      <c r="A199" t="s">
        <v>198</v>
      </c>
      <c r="B199" t="s">
        <v>1592</v>
      </c>
      <c r="C199" t="s">
        <v>1593</v>
      </c>
      <c r="D199" t="s">
        <v>1014</v>
      </c>
      <c r="E199" t="s">
        <v>1027</v>
      </c>
      <c r="F199" t="s">
        <v>1241</v>
      </c>
      <c r="G199" t="s">
        <v>1403</v>
      </c>
      <c r="H199" s="13">
        <v>13972468.6</v>
      </c>
      <c r="I199" s="14">
        <v>65331929.729999997</v>
      </c>
      <c r="J199" t="s">
        <v>1061</v>
      </c>
      <c r="K199" s="10">
        <v>4.8098999999999998</v>
      </c>
      <c r="S199" s="10">
        <v>3.7447433962264158</v>
      </c>
      <c r="T199" s="10">
        <v>3.87652596153846</v>
      </c>
      <c r="U199" s="10">
        <v>4.1455382692307694</v>
      </c>
      <c r="V199" s="10">
        <v>4.3824967307692271</v>
      </c>
      <c r="W199" s="10">
        <v>4.581998846153847</v>
      </c>
      <c r="X199" s="10">
        <v>4.6984967924528274</v>
      </c>
      <c r="Y199" s="10">
        <v>4.810621219512198</v>
      </c>
      <c r="Z199" s="11" t="str">
        <f t="shared" si="3"/>
        <v/>
      </c>
    </row>
    <row r="200" spans="1:26" x14ac:dyDescent="0.3">
      <c r="A200" t="s">
        <v>199</v>
      </c>
      <c r="B200" t="s">
        <v>1594</v>
      </c>
      <c r="C200" t="s">
        <v>1595</v>
      </c>
      <c r="D200" t="s">
        <v>1014</v>
      </c>
      <c r="E200" t="s">
        <v>1019</v>
      </c>
      <c r="F200" t="s">
        <v>1064</v>
      </c>
      <c r="G200" t="s">
        <v>1596</v>
      </c>
      <c r="H200" s="13">
        <v>1007193.1</v>
      </c>
      <c r="I200" s="14">
        <v>65146253.140000001</v>
      </c>
      <c r="J200" t="s">
        <v>1061</v>
      </c>
      <c r="K200" s="10">
        <v>18.070270000000001</v>
      </c>
      <c r="O200" s="10">
        <v>56.719521951219519</v>
      </c>
      <c r="P200" s="10">
        <v>56.918957499999962</v>
      </c>
      <c r="Q200" s="10">
        <v>60.572565769230749</v>
      </c>
      <c r="R200" s="10">
        <v>65.065480384615341</v>
      </c>
      <c r="S200" s="10">
        <v>65.084270566037745</v>
      </c>
      <c r="T200" s="10">
        <v>65.062962307692388</v>
      </c>
      <c r="U200" s="10">
        <v>65.092632692307774</v>
      </c>
      <c r="V200" s="10">
        <v>64.993525961538467</v>
      </c>
      <c r="W200" s="10">
        <v>65.060771538461523</v>
      </c>
      <c r="X200" s="10">
        <v>65.061860943396226</v>
      </c>
      <c r="Y200" s="10">
        <v>19.223958780487798</v>
      </c>
      <c r="Z200" s="11">
        <f t="shared" si="3"/>
        <v>-5.5630000000000001E-5</v>
      </c>
    </row>
    <row r="201" spans="1:26" x14ac:dyDescent="0.3">
      <c r="A201" t="s">
        <v>200</v>
      </c>
      <c r="B201" t="s">
        <v>1597</v>
      </c>
      <c r="C201" t="s">
        <v>1598</v>
      </c>
      <c r="D201" t="s">
        <v>1014</v>
      </c>
      <c r="E201" t="s">
        <v>1019</v>
      </c>
      <c r="F201" t="s">
        <v>1064</v>
      </c>
      <c r="G201" t="s">
        <v>1596</v>
      </c>
      <c r="H201" s="13">
        <v>1994959.2</v>
      </c>
      <c r="I201" s="14">
        <v>64941036.43</v>
      </c>
      <c r="J201" t="s">
        <v>1061</v>
      </c>
      <c r="K201" s="10">
        <v>9.0357699999999994</v>
      </c>
      <c r="O201" s="10">
        <v>28.645461212121219</v>
      </c>
      <c r="P201" s="10">
        <v>28.584176538461499</v>
      </c>
      <c r="Q201" s="10">
        <v>30.220075961538459</v>
      </c>
      <c r="R201" s="10">
        <v>32.477752692307668</v>
      </c>
      <c r="S201" s="10">
        <v>32.562415660377383</v>
      </c>
      <c r="T201" s="10">
        <v>32.528546923076938</v>
      </c>
      <c r="U201" s="10">
        <v>32.549922307692313</v>
      </c>
      <c r="V201" s="10">
        <v>32.534809807692334</v>
      </c>
      <c r="W201" s="10">
        <v>32.539193269230779</v>
      </c>
      <c r="X201" s="10">
        <v>32.535845471698117</v>
      </c>
      <c r="Y201" s="10">
        <v>9.6136568292682956</v>
      </c>
      <c r="Z201" s="11">
        <f t="shared" si="3"/>
        <v>1.7886899999999999E-3</v>
      </c>
    </row>
    <row r="202" spans="1:26" x14ac:dyDescent="0.3">
      <c r="A202" t="s">
        <v>201</v>
      </c>
      <c r="B202" t="s">
        <v>1599</v>
      </c>
      <c r="C202" t="s">
        <v>1600</v>
      </c>
      <c r="D202" t="s">
        <v>1014</v>
      </c>
      <c r="E202" t="s">
        <v>1027</v>
      </c>
      <c r="F202" t="s">
        <v>1382</v>
      </c>
      <c r="G202" t="s">
        <v>1555</v>
      </c>
      <c r="H202" s="13">
        <v>269566</v>
      </c>
      <c r="I202" s="14">
        <v>64596060.829999998</v>
      </c>
      <c r="J202" t="s">
        <v>1052</v>
      </c>
      <c r="K202" s="10">
        <v>250.63121000000001</v>
      </c>
      <c r="W202" s="10">
        <v>233.14944270270249</v>
      </c>
      <c r="X202" s="10">
        <v>238.3680441509436</v>
      </c>
      <c r="Y202" s="10">
        <v>250.67394999999991</v>
      </c>
      <c r="Z202" s="11" t="str">
        <f t="shared" si="3"/>
        <v/>
      </c>
    </row>
    <row r="203" spans="1:26" x14ac:dyDescent="0.3">
      <c r="A203" t="s">
        <v>202</v>
      </c>
      <c r="B203" t="s">
        <v>1601</v>
      </c>
      <c r="C203" t="s">
        <v>1602</v>
      </c>
      <c r="D203" t="s">
        <v>1014</v>
      </c>
      <c r="E203" t="s">
        <v>1027</v>
      </c>
      <c r="F203" t="s">
        <v>1068</v>
      </c>
      <c r="G203" t="s">
        <v>1428</v>
      </c>
      <c r="H203" s="13">
        <v>5140402</v>
      </c>
      <c r="I203" s="14">
        <v>64556306.880000003</v>
      </c>
      <c r="J203" t="s">
        <v>1052</v>
      </c>
      <c r="K203" s="10">
        <v>12.325279999999999</v>
      </c>
      <c r="M203" s="10">
        <v>7.4024730188679184</v>
      </c>
      <c r="N203" s="10">
        <v>8.0433575000000062</v>
      </c>
      <c r="O203" s="10">
        <v>8.8909855769230752</v>
      </c>
      <c r="P203" s="10">
        <v>9.5382405769230854</v>
      </c>
      <c r="Q203" s="10">
        <v>10.41724807692308</v>
      </c>
      <c r="R203" s="10">
        <v>11.07060961538461</v>
      </c>
      <c r="S203" s="10">
        <v>11.26863547169811</v>
      </c>
      <c r="T203" s="10">
        <v>11.5495275</v>
      </c>
      <c r="U203" s="10">
        <v>12.071361346153839</v>
      </c>
      <c r="V203" s="10">
        <v>12.321088846153851</v>
      </c>
      <c r="W203" s="10">
        <v>12.33346076923076</v>
      </c>
      <c r="X203" s="10">
        <v>12.353067358490559</v>
      </c>
      <c r="Y203" s="10">
        <v>12.33327414634147</v>
      </c>
      <c r="Z203" s="11">
        <f t="shared" si="3"/>
        <v>0.11584346</v>
      </c>
    </row>
    <row r="204" spans="1:26" x14ac:dyDescent="0.3">
      <c r="A204" t="s">
        <v>203</v>
      </c>
      <c r="B204" t="s">
        <v>1603</v>
      </c>
      <c r="C204" t="s">
        <v>1604</v>
      </c>
      <c r="D204" t="s">
        <v>1014</v>
      </c>
      <c r="E204" t="s">
        <v>1027</v>
      </c>
      <c r="F204" t="s">
        <v>1055</v>
      </c>
      <c r="G204" t="s">
        <v>1248</v>
      </c>
      <c r="H204" s="13">
        <v>618016</v>
      </c>
      <c r="I204" s="14">
        <v>64420371.270000003</v>
      </c>
      <c r="J204" t="s">
        <v>1052</v>
      </c>
      <c r="K204" s="10">
        <v>108.89073999999999</v>
      </c>
      <c r="S204" s="10">
        <v>81.090191428571472</v>
      </c>
      <c r="T204" s="10">
        <v>85.544880769230701</v>
      </c>
      <c r="U204" s="10">
        <v>89.449847692307614</v>
      </c>
      <c r="V204" s="10">
        <v>94.2104559615385</v>
      </c>
      <c r="W204" s="10">
        <v>99.07577153846151</v>
      </c>
      <c r="X204" s="10">
        <v>103.8649556603774</v>
      </c>
      <c r="Y204" s="10">
        <v>108.8722941463414</v>
      </c>
      <c r="Z204" s="11" t="str">
        <f t="shared" si="3"/>
        <v/>
      </c>
    </row>
    <row r="205" spans="1:26" x14ac:dyDescent="0.3">
      <c r="A205" t="s">
        <v>204</v>
      </c>
      <c r="B205" t="s">
        <v>1605</v>
      </c>
      <c r="C205" t="s">
        <v>1606</v>
      </c>
      <c r="D205" t="s">
        <v>1014</v>
      </c>
      <c r="E205" t="s">
        <v>1027</v>
      </c>
      <c r="F205" t="s">
        <v>1241</v>
      </c>
      <c r="G205" t="s">
        <v>1403</v>
      </c>
      <c r="H205" s="13">
        <v>2752796</v>
      </c>
      <c r="I205" s="14">
        <v>64081757.850000001</v>
      </c>
      <c r="J205" t="s">
        <v>1052</v>
      </c>
      <c r="K205" s="10">
        <v>24.074449999999999</v>
      </c>
      <c r="P205" s="10">
        <v>15.967959999999991</v>
      </c>
      <c r="Q205" s="10">
        <v>17.089842692307709</v>
      </c>
      <c r="R205" s="10">
        <v>18.25707384615384</v>
      </c>
      <c r="S205" s="10">
        <v>18.85432339622642</v>
      </c>
      <c r="T205" s="10">
        <v>19.354334230769229</v>
      </c>
      <c r="U205" s="10">
        <v>20.648617499999979</v>
      </c>
      <c r="V205" s="10">
        <v>21.921560961538471</v>
      </c>
      <c r="W205" s="10">
        <v>22.939652115384622</v>
      </c>
      <c r="X205" s="10">
        <v>23.48103943396227</v>
      </c>
      <c r="Y205" s="10">
        <v>24.069163658536571</v>
      </c>
      <c r="Z205" s="11">
        <f t="shared" si="3"/>
        <v>0.28613378</v>
      </c>
    </row>
    <row r="206" spans="1:26" x14ac:dyDescent="0.3">
      <c r="A206" t="s">
        <v>205</v>
      </c>
      <c r="B206" t="s">
        <v>1607</v>
      </c>
      <c r="C206" t="s">
        <v>1550</v>
      </c>
      <c r="D206" t="s">
        <v>1015</v>
      </c>
      <c r="E206" t="s">
        <v>1032</v>
      </c>
      <c r="F206" t="s">
        <v>1608</v>
      </c>
      <c r="G206" t="s">
        <v>1552</v>
      </c>
      <c r="H206" s="13">
        <v>72127416.878000006</v>
      </c>
      <c r="I206" s="14">
        <v>63811446.890000001</v>
      </c>
      <c r="J206" t="s">
        <v>1163</v>
      </c>
      <c r="K206" s="10">
        <v>0.44508999999999999</v>
      </c>
      <c r="M206" s="10">
        <v>0.44276641509433962</v>
      </c>
      <c r="N206" s="10">
        <v>0.3296921153846154</v>
      </c>
      <c r="O206" s="10">
        <v>0.26135153846153841</v>
      </c>
      <c r="P206" s="10">
        <v>0.26161019230769228</v>
      </c>
      <c r="Q206" s="10">
        <v>0.2519907692307693</v>
      </c>
      <c r="R206" s="10">
        <v>0.36205307692307692</v>
      </c>
      <c r="S206" s="10">
        <v>0.31847999999999999</v>
      </c>
      <c r="T206" s="10">
        <v>0.29647538461538459</v>
      </c>
      <c r="U206" s="10">
        <v>0.27951884615384631</v>
      </c>
      <c r="V206" s="10">
        <v>0.31438846153846162</v>
      </c>
      <c r="W206" s="10">
        <v>0.40188269230769252</v>
      </c>
      <c r="X206" s="10">
        <v>0.45118415094339631</v>
      </c>
      <c r="Y206" s="10">
        <v>0.44506487804878059</v>
      </c>
      <c r="Z206" s="11">
        <f t="shared" si="3"/>
        <v>0.24618234</v>
      </c>
    </row>
    <row r="207" spans="1:26" x14ac:dyDescent="0.3">
      <c r="A207" t="s">
        <v>206</v>
      </c>
      <c r="B207" t="s">
        <v>1609</v>
      </c>
      <c r="C207" t="s">
        <v>1392</v>
      </c>
      <c r="D207" t="s">
        <v>1015</v>
      </c>
      <c r="E207" t="s">
        <v>1032</v>
      </c>
      <c r="F207" t="s">
        <v>1610</v>
      </c>
      <c r="G207" t="s">
        <v>1611</v>
      </c>
      <c r="H207" s="13">
        <v>22060710.585000001</v>
      </c>
      <c r="I207" s="14">
        <v>63361682.039999999</v>
      </c>
      <c r="J207" t="s">
        <v>1163</v>
      </c>
      <c r="K207" s="10">
        <v>1.5404899999999999</v>
      </c>
      <c r="T207" s="10">
        <v>3.6034782692307701</v>
      </c>
      <c r="U207" s="10">
        <v>3.0958698076923081</v>
      </c>
      <c r="V207" s="10">
        <v>2.8471105769230771</v>
      </c>
      <c r="W207" s="10">
        <v>2.477838076923077</v>
      </c>
      <c r="X207" s="10">
        <v>2.211401320754717</v>
      </c>
      <c r="Y207" s="10">
        <v>1.670867804878049</v>
      </c>
      <c r="Z207" s="11" t="str">
        <f t="shared" si="3"/>
        <v/>
      </c>
    </row>
    <row r="208" spans="1:26" x14ac:dyDescent="0.3">
      <c r="A208" t="s">
        <v>207</v>
      </c>
      <c r="B208" t="s">
        <v>1612</v>
      </c>
      <c r="C208" t="s">
        <v>1613</v>
      </c>
      <c r="D208" t="s">
        <v>1014</v>
      </c>
      <c r="E208" t="s">
        <v>1032</v>
      </c>
      <c r="F208" t="s">
        <v>1496</v>
      </c>
      <c r="G208" t="s">
        <v>1497</v>
      </c>
      <c r="H208" s="13">
        <v>2393824.9</v>
      </c>
      <c r="I208" s="14">
        <v>62280600.789999999</v>
      </c>
      <c r="J208" t="s">
        <v>1163</v>
      </c>
      <c r="K208" s="10">
        <v>25.191569999999999</v>
      </c>
      <c r="U208" s="10">
        <v>24.157331153846179</v>
      </c>
      <c r="V208" s="10">
        <v>25.314638653846149</v>
      </c>
      <c r="W208" s="10">
        <v>25.273219615384608</v>
      </c>
      <c r="X208" s="10">
        <v>25.255518301886791</v>
      </c>
      <c r="Y208" s="10">
        <v>25.209869756097561</v>
      </c>
      <c r="Z208" s="11" t="str">
        <f t="shared" si="3"/>
        <v/>
      </c>
    </row>
    <row r="209" spans="1:26" x14ac:dyDescent="0.3">
      <c r="A209" t="s">
        <v>208</v>
      </c>
      <c r="B209" t="s">
        <v>1614</v>
      </c>
      <c r="C209" t="s">
        <v>1615</v>
      </c>
      <c r="D209" t="s">
        <v>1014</v>
      </c>
      <c r="E209" t="s">
        <v>1025</v>
      </c>
      <c r="F209" t="s">
        <v>1123</v>
      </c>
      <c r="G209" t="s">
        <v>1140</v>
      </c>
      <c r="H209" s="13">
        <v>9209</v>
      </c>
      <c r="I209" s="14">
        <v>62212791.93</v>
      </c>
      <c r="J209" t="s">
        <v>1061</v>
      </c>
      <c r="K209" s="10">
        <v>7435.87075</v>
      </c>
      <c r="W209" s="10">
        <v>6659.6055160714304</v>
      </c>
      <c r="X209" s="10">
        <v>7022.5870271698032</v>
      </c>
      <c r="Y209" s="10">
        <v>7427.2344309756099</v>
      </c>
      <c r="Z209" s="11" t="str">
        <f t="shared" si="3"/>
        <v/>
      </c>
    </row>
    <row r="210" spans="1:26" x14ac:dyDescent="0.3">
      <c r="A210" t="s">
        <v>209</v>
      </c>
      <c r="B210" t="s">
        <v>1616</v>
      </c>
      <c r="C210" t="s">
        <v>1617</v>
      </c>
      <c r="D210" t="s">
        <v>1015</v>
      </c>
      <c r="E210" t="s">
        <v>1030</v>
      </c>
      <c r="F210" t="s">
        <v>1618</v>
      </c>
      <c r="G210" t="s">
        <v>1619</v>
      </c>
      <c r="H210" s="13">
        <v>25428985.350000001</v>
      </c>
      <c r="I210" s="14">
        <v>62194839.700000003</v>
      </c>
      <c r="J210" t="s">
        <v>1052</v>
      </c>
      <c r="K210" s="10">
        <v>1.9822599999999999</v>
      </c>
      <c r="R210" s="10">
        <v>5.3324678378378367</v>
      </c>
      <c r="S210" s="10">
        <v>4.4437520754716981</v>
      </c>
      <c r="T210" s="10">
        <v>3.723454615384616</v>
      </c>
      <c r="U210" s="10">
        <v>3.286481923076924</v>
      </c>
      <c r="V210" s="10">
        <v>3.1368730769230768</v>
      </c>
      <c r="W210" s="10">
        <v>2.4652136538461522</v>
      </c>
      <c r="X210" s="10">
        <v>2.0139016981132078</v>
      </c>
      <c r="Y210" s="10">
        <v>2.0423968292682928</v>
      </c>
      <c r="Z210" s="11">
        <f t="shared" si="3"/>
        <v>-0.62233214000000003</v>
      </c>
    </row>
    <row r="211" spans="1:26" x14ac:dyDescent="0.3">
      <c r="A211" t="s">
        <v>210</v>
      </c>
      <c r="B211" t="s">
        <v>1620</v>
      </c>
      <c r="C211" t="s">
        <v>1621</v>
      </c>
      <c r="D211" t="s">
        <v>1014</v>
      </c>
      <c r="E211" t="s">
        <v>1027</v>
      </c>
      <c r="F211" t="s">
        <v>1181</v>
      </c>
      <c r="G211" t="s">
        <v>1622</v>
      </c>
      <c r="H211" s="13">
        <v>1177939</v>
      </c>
      <c r="I211" s="14">
        <v>61905837.670000002</v>
      </c>
      <c r="J211" t="s">
        <v>1052</v>
      </c>
      <c r="K211" s="10">
        <v>55.096960000000003</v>
      </c>
      <c r="U211" s="10">
        <v>44.744664878048788</v>
      </c>
      <c r="V211" s="10">
        <v>47.450090384615358</v>
      </c>
      <c r="W211" s="10">
        <v>50.432835769230778</v>
      </c>
      <c r="X211" s="10">
        <v>52.475389245283019</v>
      </c>
      <c r="Y211" s="10">
        <v>55.06132317073169</v>
      </c>
      <c r="Z211" s="11" t="str">
        <f t="shared" si="3"/>
        <v/>
      </c>
    </row>
    <row r="212" spans="1:26" x14ac:dyDescent="0.3">
      <c r="A212" t="s">
        <v>211</v>
      </c>
      <c r="B212" t="s">
        <v>1623</v>
      </c>
      <c r="C212" t="s">
        <v>1617</v>
      </c>
      <c r="D212" t="s">
        <v>1015</v>
      </c>
      <c r="E212" t="s">
        <v>1030</v>
      </c>
      <c r="F212" t="s">
        <v>1624</v>
      </c>
      <c r="G212" t="s">
        <v>1619</v>
      </c>
      <c r="H212" s="13">
        <v>25858939</v>
      </c>
      <c r="I212" s="14">
        <v>61467836.460000001</v>
      </c>
      <c r="J212" t="s">
        <v>1052</v>
      </c>
      <c r="K212" s="10">
        <v>1.9822599999999999</v>
      </c>
      <c r="R212" s="10">
        <v>5.3324678378378367</v>
      </c>
      <c r="S212" s="10">
        <v>4.4437520754716981</v>
      </c>
      <c r="T212" s="10">
        <v>3.723454615384616</v>
      </c>
      <c r="U212" s="10">
        <v>3.286481923076924</v>
      </c>
      <c r="V212" s="10">
        <v>3.1368730769230768</v>
      </c>
      <c r="W212" s="10">
        <v>2.4652136538461522</v>
      </c>
      <c r="X212" s="10">
        <v>2.0139016981132078</v>
      </c>
      <c r="Y212" s="10">
        <v>2.0423968292682928</v>
      </c>
      <c r="Z212" s="11">
        <f t="shared" si="3"/>
        <v>-0.62233214000000003</v>
      </c>
    </row>
    <row r="213" spans="1:26" x14ac:dyDescent="0.3">
      <c r="A213" t="s">
        <v>212</v>
      </c>
      <c r="B213" t="s">
        <v>1625</v>
      </c>
      <c r="C213" t="s">
        <v>1626</v>
      </c>
      <c r="D213" t="s">
        <v>1014</v>
      </c>
      <c r="E213" t="s">
        <v>1032</v>
      </c>
      <c r="F213" t="s">
        <v>1193</v>
      </c>
      <c r="G213" t="s">
        <v>1627</v>
      </c>
      <c r="H213" s="13">
        <v>2357171.2829999998</v>
      </c>
      <c r="I213" s="14">
        <v>61076592.159999996</v>
      </c>
      <c r="J213" t="s">
        <v>1163</v>
      </c>
      <c r="K213" s="10">
        <v>25.392790000000002</v>
      </c>
      <c r="M213" s="10">
        <v>22.727896603773591</v>
      </c>
      <c r="N213" s="10">
        <v>24.547577115384609</v>
      </c>
      <c r="O213" s="10">
        <v>26.97349134615385</v>
      </c>
      <c r="P213" s="10">
        <v>28.863521538461519</v>
      </c>
      <c r="Q213" s="10">
        <v>31.41845442307693</v>
      </c>
      <c r="R213" s="10">
        <v>31.481361153846169</v>
      </c>
      <c r="S213" s="10">
        <v>31.46583207547171</v>
      </c>
      <c r="T213" s="10">
        <v>32.407287307692307</v>
      </c>
      <c r="U213" s="10">
        <v>32.467577692307657</v>
      </c>
      <c r="V213" s="10">
        <v>32.285545384615382</v>
      </c>
      <c r="W213" s="10">
        <v>25.48172903846153</v>
      </c>
      <c r="X213" s="10">
        <v>25.459542830188671</v>
      </c>
      <c r="Y213" s="10">
        <v>25.40907390243903</v>
      </c>
      <c r="Z213" s="11">
        <f t="shared" si="3"/>
        <v>-0.19128202</v>
      </c>
    </row>
    <row r="214" spans="1:26" x14ac:dyDescent="0.3">
      <c r="A214" t="s">
        <v>213</v>
      </c>
      <c r="B214" t="s">
        <v>1628</v>
      </c>
      <c r="C214" t="s">
        <v>1392</v>
      </c>
      <c r="D214" t="s">
        <v>1015</v>
      </c>
      <c r="E214" t="s">
        <v>1032</v>
      </c>
      <c r="F214" t="s">
        <v>1363</v>
      </c>
      <c r="G214" t="s">
        <v>1393</v>
      </c>
      <c r="H214" s="13">
        <v>18039167.508000001</v>
      </c>
      <c r="I214" s="14">
        <v>60873610.159999996</v>
      </c>
      <c r="J214" t="s">
        <v>1163</v>
      </c>
      <c r="K214" s="10">
        <v>1.5404899999999999</v>
      </c>
      <c r="R214" s="10">
        <v>3.8846326829268292</v>
      </c>
      <c r="S214" s="10">
        <v>3.6444339622641508</v>
      </c>
      <c r="T214" s="10">
        <v>3.6034782692307701</v>
      </c>
      <c r="U214" s="10">
        <v>3.0958698076923081</v>
      </c>
      <c r="V214" s="10">
        <v>2.8471105769230771</v>
      </c>
      <c r="W214" s="10">
        <v>2.477838076923077</v>
      </c>
      <c r="X214" s="10">
        <v>2.211401320754717</v>
      </c>
      <c r="Y214" s="10">
        <v>1.670867804878049</v>
      </c>
      <c r="Z214" s="11">
        <f t="shared" si="3"/>
        <v>-0.43073091000000002</v>
      </c>
    </row>
    <row r="215" spans="1:26" x14ac:dyDescent="0.3">
      <c r="A215" t="s">
        <v>214</v>
      </c>
      <c r="B215" t="s">
        <v>1629</v>
      </c>
      <c r="C215" t="s">
        <v>1630</v>
      </c>
      <c r="D215" t="s">
        <v>1014</v>
      </c>
      <c r="E215" t="s">
        <v>1025</v>
      </c>
      <c r="F215" t="s">
        <v>1298</v>
      </c>
      <c r="G215" t="s">
        <v>1631</v>
      </c>
      <c r="H215" s="13">
        <v>46510.8</v>
      </c>
      <c r="I215" s="14">
        <v>59901279.93</v>
      </c>
      <c r="J215" t="s">
        <v>1061</v>
      </c>
      <c r="K215" s="10">
        <v>1279.0577800000001</v>
      </c>
      <c r="Y215" s="10">
        <v>1279.057780000001</v>
      </c>
      <c r="Z215" s="11" t="str">
        <f t="shared" si="3"/>
        <v/>
      </c>
    </row>
    <row r="216" spans="1:26" x14ac:dyDescent="0.3">
      <c r="A216" t="s">
        <v>215</v>
      </c>
      <c r="B216" t="s">
        <v>1632</v>
      </c>
      <c r="C216" t="s">
        <v>1633</v>
      </c>
      <c r="D216" t="s">
        <v>1014</v>
      </c>
      <c r="E216" t="s">
        <v>1027</v>
      </c>
      <c r="F216" t="s">
        <v>1181</v>
      </c>
      <c r="G216" t="s">
        <v>1622</v>
      </c>
      <c r="H216" s="13">
        <v>1106549</v>
      </c>
      <c r="I216" s="14">
        <v>58167782.93</v>
      </c>
      <c r="J216" t="s">
        <v>1052</v>
      </c>
      <c r="K216" s="10">
        <v>54.9818</v>
      </c>
      <c r="U216" s="10">
        <v>44.754755405405398</v>
      </c>
      <c r="V216" s="10">
        <v>47.458226538461538</v>
      </c>
      <c r="W216" s="10">
        <v>50.450094807692281</v>
      </c>
      <c r="X216" s="10">
        <v>52.360518490566058</v>
      </c>
      <c r="Y216" s="10">
        <v>54.9759180487805</v>
      </c>
      <c r="Z216" s="11" t="str">
        <f t="shared" si="3"/>
        <v/>
      </c>
    </row>
    <row r="217" spans="1:26" x14ac:dyDescent="0.3">
      <c r="A217" t="s">
        <v>216</v>
      </c>
      <c r="B217" t="s">
        <v>1634</v>
      </c>
      <c r="C217" t="s">
        <v>1635</v>
      </c>
      <c r="D217" t="s">
        <v>1014</v>
      </c>
      <c r="E217" t="s">
        <v>1019</v>
      </c>
      <c r="F217" t="s">
        <v>1305</v>
      </c>
      <c r="G217" t="s">
        <v>1636</v>
      </c>
      <c r="H217" s="13">
        <v>4861981</v>
      </c>
      <c r="I217" s="14">
        <v>56737149.039999999</v>
      </c>
      <c r="J217" t="s">
        <v>1052</v>
      </c>
      <c r="K217" s="10">
        <v>11.442500000000001</v>
      </c>
      <c r="R217" s="10">
        <v>9.0005103846153869</v>
      </c>
      <c r="S217" s="10">
        <v>9.4349698113207552</v>
      </c>
      <c r="T217" s="10">
        <v>9.8981723076923025</v>
      </c>
      <c r="U217" s="10">
        <v>10.38888942307692</v>
      </c>
      <c r="V217" s="10">
        <v>10.89697461538462</v>
      </c>
      <c r="W217" s="10">
        <v>11.41966653846154</v>
      </c>
      <c r="X217" s="10">
        <v>11.429810377358489</v>
      </c>
      <c r="Y217" s="10">
        <v>11.435404634146339</v>
      </c>
      <c r="Z217" s="11">
        <f t="shared" si="3"/>
        <v>0.26990691999999999</v>
      </c>
    </row>
    <row r="218" spans="1:26" x14ac:dyDescent="0.3">
      <c r="A218" t="s">
        <v>217</v>
      </c>
      <c r="B218" t="s">
        <v>1637</v>
      </c>
      <c r="C218" t="s">
        <v>1638</v>
      </c>
      <c r="D218" t="s">
        <v>1014</v>
      </c>
      <c r="E218" t="s">
        <v>1019</v>
      </c>
      <c r="F218" t="s">
        <v>1639</v>
      </c>
      <c r="G218" t="s">
        <v>1640</v>
      </c>
      <c r="H218" s="13">
        <v>197371.4</v>
      </c>
      <c r="I218" s="14">
        <v>56547970.560000002</v>
      </c>
      <c r="J218" t="s">
        <v>1052</v>
      </c>
      <c r="K218" s="10">
        <v>293.03516999999999</v>
      </c>
      <c r="W218" s="10">
        <v>275.11595775000012</v>
      </c>
      <c r="X218" s="10">
        <v>285.43300245283041</v>
      </c>
      <c r="Y218" s="10">
        <v>290.2265724390241</v>
      </c>
      <c r="Z218" s="11" t="str">
        <f t="shared" si="3"/>
        <v/>
      </c>
    </row>
    <row r="219" spans="1:26" x14ac:dyDescent="0.3">
      <c r="A219" t="s">
        <v>218</v>
      </c>
      <c r="B219" t="s">
        <v>1641</v>
      </c>
      <c r="C219" t="s">
        <v>1642</v>
      </c>
      <c r="D219" t="s">
        <v>1014</v>
      </c>
      <c r="E219" t="s">
        <v>1032</v>
      </c>
      <c r="F219" t="s">
        <v>1193</v>
      </c>
      <c r="G219" t="s">
        <v>1627</v>
      </c>
      <c r="H219" s="13">
        <v>1590903</v>
      </c>
      <c r="I219" s="14">
        <v>56474667.299999997</v>
      </c>
      <c r="J219" t="s">
        <v>1163</v>
      </c>
      <c r="K219" s="10">
        <v>35.018079999999998</v>
      </c>
      <c r="M219" s="10">
        <v>30.38576754716982</v>
      </c>
      <c r="N219" s="10">
        <v>32.634522307692322</v>
      </c>
      <c r="O219" s="10">
        <v>35.807849038461526</v>
      </c>
      <c r="P219" s="10">
        <v>38.002776538461568</v>
      </c>
      <c r="Q219" s="10">
        <v>41.300670961538472</v>
      </c>
      <c r="R219" s="10">
        <v>41.363287692307708</v>
      </c>
      <c r="S219" s="10">
        <v>41.40014811320755</v>
      </c>
      <c r="T219" s="10">
        <v>42.671860961538457</v>
      </c>
      <c r="U219" s="10">
        <v>42.659293076923092</v>
      </c>
      <c r="V219" s="10">
        <v>42.529535576923102</v>
      </c>
      <c r="W219" s="10">
        <v>35.15426769230767</v>
      </c>
      <c r="X219" s="10">
        <v>35.092858679245268</v>
      </c>
      <c r="Y219" s="10">
        <v>35.031819512195128</v>
      </c>
      <c r="Z219" s="11">
        <f t="shared" si="3"/>
        <v>-0.15159407</v>
      </c>
    </row>
    <row r="220" spans="1:26" x14ac:dyDescent="0.3">
      <c r="A220" t="s">
        <v>219</v>
      </c>
      <c r="B220" t="s">
        <v>1643</v>
      </c>
      <c r="C220" t="s">
        <v>1644</v>
      </c>
      <c r="D220" t="s">
        <v>1014</v>
      </c>
      <c r="E220" t="s">
        <v>1025</v>
      </c>
      <c r="F220" t="s">
        <v>1055</v>
      </c>
      <c r="G220" t="s">
        <v>1056</v>
      </c>
      <c r="H220" s="13">
        <v>16998.75</v>
      </c>
      <c r="I220" s="14">
        <v>56241554.869999997</v>
      </c>
      <c r="J220" t="s">
        <v>1052</v>
      </c>
      <c r="K220" s="10">
        <v>3369.09256</v>
      </c>
      <c r="M220" s="10">
        <v>1257.312626382979</v>
      </c>
      <c r="N220" s="10">
        <v>1556.0713066000001</v>
      </c>
      <c r="O220" s="10">
        <v>1897.0545875</v>
      </c>
      <c r="P220" s="10">
        <v>2136.4786834615402</v>
      </c>
      <c r="Q220" s="10">
        <v>2365.2021665384632</v>
      </c>
      <c r="R220" s="10">
        <v>2517.6561226923059</v>
      </c>
      <c r="S220" s="10">
        <v>2702.8719456603772</v>
      </c>
      <c r="T220" s="10">
        <v>2902.7769930769218</v>
      </c>
      <c r="U220" s="10">
        <v>3108.8585138461522</v>
      </c>
      <c r="V220" s="10">
        <v>3366.1650926923062</v>
      </c>
      <c r="W220" s="10">
        <v>3365.2015765384599</v>
      </c>
      <c r="X220" s="10">
        <v>3364.0010469811332</v>
      </c>
      <c r="Y220" s="10">
        <v>3372.051827317071</v>
      </c>
      <c r="Z220" s="11">
        <f t="shared" si="3"/>
        <v>0.33616383</v>
      </c>
    </row>
    <row r="221" spans="1:26" x14ac:dyDescent="0.3">
      <c r="A221" t="s">
        <v>220</v>
      </c>
      <c r="B221" t="s">
        <v>1645</v>
      </c>
      <c r="C221" t="s">
        <v>1646</v>
      </c>
      <c r="D221" t="s">
        <v>1014</v>
      </c>
      <c r="E221" t="s">
        <v>1026</v>
      </c>
      <c r="F221" t="s">
        <v>1050</v>
      </c>
      <c r="G221" t="s">
        <v>1647</v>
      </c>
      <c r="H221" s="13">
        <v>67505</v>
      </c>
      <c r="I221" s="14">
        <v>55611226.600000001</v>
      </c>
      <c r="J221" t="s">
        <v>1052</v>
      </c>
      <c r="K221" s="10">
        <v>865.89214000000004</v>
      </c>
      <c r="P221" s="10">
        <v>859.08402599999999</v>
      </c>
      <c r="Q221" s="10">
        <v>869.38684999999964</v>
      </c>
      <c r="R221" s="10">
        <v>868.18566384615417</v>
      </c>
      <c r="S221" s="10">
        <v>868.60711698113175</v>
      </c>
      <c r="V221" s="10">
        <v>869.79700000000003</v>
      </c>
      <c r="W221" s="10">
        <v>865.42761942307652</v>
      </c>
      <c r="X221" s="10">
        <v>863.83630754717035</v>
      </c>
      <c r="Y221" s="10">
        <v>866.45636243902504</v>
      </c>
      <c r="Z221" s="11">
        <f t="shared" si="3"/>
        <v>-5.0097099999999997E-3</v>
      </c>
    </row>
    <row r="222" spans="1:26" x14ac:dyDescent="0.3">
      <c r="A222" t="s">
        <v>221</v>
      </c>
      <c r="B222" t="s">
        <v>1648</v>
      </c>
      <c r="C222" t="s">
        <v>1649</v>
      </c>
      <c r="D222" t="s">
        <v>1014</v>
      </c>
      <c r="E222" t="s">
        <v>1032</v>
      </c>
      <c r="F222" t="s">
        <v>1193</v>
      </c>
      <c r="G222" t="s">
        <v>1425</v>
      </c>
      <c r="H222" s="13">
        <v>12678640</v>
      </c>
      <c r="I222" s="14">
        <v>55113056.009999998</v>
      </c>
      <c r="J222" t="s">
        <v>1052</v>
      </c>
      <c r="K222" s="10">
        <v>4.2281000000000004</v>
      </c>
      <c r="M222" s="10">
        <v>6.0830011320754753</v>
      </c>
      <c r="N222" s="10">
        <v>6.4705730769230749</v>
      </c>
      <c r="O222" s="10">
        <v>7.0996963461538503</v>
      </c>
      <c r="P222" s="10">
        <v>7.6101830769230752</v>
      </c>
      <c r="Q222" s="10">
        <v>8.2749413461538524</v>
      </c>
      <c r="R222" s="10">
        <v>8.282720192307691</v>
      </c>
      <c r="S222" s="10">
        <v>8.2752369811320783</v>
      </c>
      <c r="T222" s="10">
        <v>8.2880790384615395</v>
      </c>
      <c r="U222" s="10">
        <v>8.2761540384615291</v>
      </c>
      <c r="V222" s="10">
        <v>8.1948886538461494</v>
      </c>
      <c r="W222" s="10">
        <v>4.2389580769230797</v>
      </c>
      <c r="X222" s="10">
        <v>4.2354154716981114</v>
      </c>
      <c r="Y222" s="10">
        <v>4.2285241463414627</v>
      </c>
      <c r="Z222" s="11">
        <f t="shared" si="3"/>
        <v>-0.48864438999999998</v>
      </c>
    </row>
    <row r="223" spans="1:26" x14ac:dyDescent="0.3">
      <c r="A223" t="s">
        <v>222</v>
      </c>
      <c r="B223" t="s">
        <v>1650</v>
      </c>
      <c r="C223" t="s">
        <v>1651</v>
      </c>
      <c r="D223" t="s">
        <v>1014</v>
      </c>
      <c r="E223" t="s">
        <v>1018</v>
      </c>
      <c r="F223" t="s">
        <v>1068</v>
      </c>
      <c r="G223" t="s">
        <v>1225</v>
      </c>
      <c r="H223" s="13">
        <v>2858412.7</v>
      </c>
      <c r="I223" s="14">
        <v>54376673.200000003</v>
      </c>
      <c r="J223" t="s">
        <v>1052</v>
      </c>
      <c r="K223" s="10">
        <v>19.522259999999999</v>
      </c>
      <c r="M223" s="10">
        <v>9.1929383018867927</v>
      </c>
      <c r="N223" s="10">
        <v>10.40742403846154</v>
      </c>
      <c r="O223" s="10">
        <v>11.387496153846151</v>
      </c>
      <c r="P223" s="10">
        <v>12.303548269230779</v>
      </c>
      <c r="Q223" s="10">
        <v>13.36544711538461</v>
      </c>
      <c r="R223" s="10">
        <v>14.31303269230769</v>
      </c>
      <c r="S223" s="10">
        <v>14.996290754716981</v>
      </c>
      <c r="T223" s="10">
        <v>15.714271730769219</v>
      </c>
      <c r="U223" s="10">
        <v>16.482372115384631</v>
      </c>
      <c r="V223" s="10">
        <v>17.28845307692308</v>
      </c>
      <c r="W223" s="10">
        <v>18.14245884615384</v>
      </c>
      <c r="X223" s="10">
        <v>19.02290490566039</v>
      </c>
      <c r="Y223" s="10">
        <v>19.478405609756091</v>
      </c>
      <c r="Z223" s="11">
        <f t="shared" si="3"/>
        <v>0.32906179000000002</v>
      </c>
    </row>
    <row r="224" spans="1:26" x14ac:dyDescent="0.3">
      <c r="A224" t="s">
        <v>223</v>
      </c>
      <c r="B224" t="s">
        <v>1652</v>
      </c>
      <c r="C224" t="s">
        <v>1653</v>
      </c>
      <c r="D224" t="s">
        <v>1014</v>
      </c>
      <c r="E224" t="s">
        <v>1025</v>
      </c>
      <c r="F224" t="s">
        <v>1114</v>
      </c>
      <c r="G224" t="s">
        <v>1654</v>
      </c>
      <c r="H224" s="13">
        <v>4277332</v>
      </c>
      <c r="I224" s="14">
        <v>54190992.399999999</v>
      </c>
      <c r="J224" t="s">
        <v>1163</v>
      </c>
      <c r="K224" s="10">
        <v>12.646470000000001</v>
      </c>
      <c r="P224" s="10">
        <v>9.3588599999999946</v>
      </c>
      <c r="Q224" s="10">
        <v>9.8915661538461528</v>
      </c>
      <c r="R224" s="10">
        <v>10.113257692307689</v>
      </c>
      <c r="S224" s="10">
        <v>10.4253162264151</v>
      </c>
      <c r="T224" s="10">
        <v>10.727503461538459</v>
      </c>
      <c r="U224" s="10">
        <v>11.071389999999999</v>
      </c>
      <c r="V224" s="10">
        <v>11.61940076923076</v>
      </c>
      <c r="W224" s="10">
        <v>12.196327115384619</v>
      </c>
      <c r="X224" s="10">
        <v>12.65387603773585</v>
      </c>
      <c r="Y224" s="10">
        <v>12.650004878048779</v>
      </c>
      <c r="Z224" s="11">
        <f t="shared" si="3"/>
        <v>0.25121661000000001</v>
      </c>
    </row>
    <row r="225" spans="1:26" x14ac:dyDescent="0.3">
      <c r="A225" t="s">
        <v>224</v>
      </c>
      <c r="B225" t="s">
        <v>1655</v>
      </c>
      <c r="C225" t="s">
        <v>1656</v>
      </c>
      <c r="D225" t="s">
        <v>1014</v>
      </c>
      <c r="E225" t="s">
        <v>1027</v>
      </c>
      <c r="F225" t="s">
        <v>1419</v>
      </c>
      <c r="G225" t="s">
        <v>1420</v>
      </c>
      <c r="H225" s="13">
        <v>152862</v>
      </c>
      <c r="I225" s="14">
        <v>53289652.719999999</v>
      </c>
      <c r="J225" t="s">
        <v>1052</v>
      </c>
      <c r="K225" s="10">
        <v>365.51001000000002</v>
      </c>
      <c r="X225" s="10">
        <v>349.64766517241378</v>
      </c>
      <c r="Y225" s="10">
        <v>365.63712048780502</v>
      </c>
      <c r="Z225" s="11" t="str">
        <f t="shared" si="3"/>
        <v/>
      </c>
    </row>
    <row r="226" spans="1:26" x14ac:dyDescent="0.3">
      <c r="A226" t="s">
        <v>225</v>
      </c>
      <c r="B226" t="s">
        <v>1657</v>
      </c>
      <c r="C226" t="s">
        <v>1658</v>
      </c>
      <c r="D226" t="s">
        <v>1014</v>
      </c>
      <c r="E226" t="s">
        <v>1032</v>
      </c>
      <c r="F226" t="s">
        <v>1193</v>
      </c>
      <c r="G226" t="s">
        <v>1659</v>
      </c>
      <c r="H226" s="13">
        <v>4585934</v>
      </c>
      <c r="I226" s="14">
        <v>53178253.549999997</v>
      </c>
      <c r="J226" t="s">
        <v>1052</v>
      </c>
      <c r="K226" s="10">
        <v>11.299160000000001</v>
      </c>
      <c r="N226" s="10">
        <v>7.4047496969697004</v>
      </c>
      <c r="O226" s="10">
        <v>8.6174055769230726</v>
      </c>
      <c r="P226" s="10">
        <v>10.365987692307691</v>
      </c>
      <c r="Q226" s="10">
        <v>10.36493384615385</v>
      </c>
      <c r="R226" s="10">
        <v>10.66345288461538</v>
      </c>
      <c r="S226" s="10">
        <v>10.979243207547171</v>
      </c>
      <c r="T226" s="10">
        <v>11.30962096153845</v>
      </c>
      <c r="U226" s="10">
        <v>11.31888538461539</v>
      </c>
      <c r="V226" s="10">
        <v>11.32504153846155</v>
      </c>
      <c r="W226" s="10">
        <v>11.325525384615389</v>
      </c>
      <c r="X226" s="10">
        <v>11.31503188679245</v>
      </c>
      <c r="Y226" s="10">
        <v>11.30173926829268</v>
      </c>
      <c r="Z226" s="11">
        <f t="shared" si="3"/>
        <v>6.1103940000000002E-2</v>
      </c>
    </row>
    <row r="227" spans="1:26" x14ac:dyDescent="0.3">
      <c r="A227" t="s">
        <v>226</v>
      </c>
      <c r="B227" t="s">
        <v>1660</v>
      </c>
      <c r="C227" t="s">
        <v>1661</v>
      </c>
      <c r="D227" t="s">
        <v>1014</v>
      </c>
      <c r="E227" t="s">
        <v>1019</v>
      </c>
      <c r="F227" t="s">
        <v>1305</v>
      </c>
      <c r="G227" t="s">
        <v>1662</v>
      </c>
      <c r="H227" s="13">
        <v>9620638</v>
      </c>
      <c r="I227" s="14">
        <v>52960258.659999996</v>
      </c>
      <c r="J227" t="s">
        <v>1052</v>
      </c>
      <c r="K227" s="10">
        <v>5.2792899999999996</v>
      </c>
      <c r="M227" s="10">
        <v>4.7465811320754696</v>
      </c>
      <c r="N227" s="10">
        <v>5.3969153846153866</v>
      </c>
      <c r="O227" s="10">
        <v>5.8508388461538434</v>
      </c>
      <c r="P227" s="10">
        <v>6.2417661538461511</v>
      </c>
      <c r="Q227" s="10">
        <v>6.8569630769230763</v>
      </c>
      <c r="R227" s="10">
        <v>7.2057934615384642</v>
      </c>
      <c r="S227" s="10">
        <v>7.5571509433962278</v>
      </c>
      <c r="T227" s="10">
        <v>7.9332165384615356</v>
      </c>
      <c r="U227" s="10">
        <v>8.3207830769230853</v>
      </c>
      <c r="V227" s="10">
        <v>8.7272817307692314</v>
      </c>
      <c r="W227" s="10">
        <v>9.1524799999999988</v>
      </c>
      <c r="X227" s="10">
        <v>5.2795111320754664</v>
      </c>
      <c r="Y227" s="10">
        <v>5.2803778048780501</v>
      </c>
      <c r="Z227" s="11">
        <f t="shared" si="3"/>
        <v>-0.26732411</v>
      </c>
    </row>
    <row r="228" spans="1:26" x14ac:dyDescent="0.3">
      <c r="A228" t="s">
        <v>227</v>
      </c>
      <c r="B228" t="s">
        <v>1663</v>
      </c>
      <c r="C228" t="s">
        <v>1456</v>
      </c>
      <c r="D228" t="s">
        <v>1014</v>
      </c>
      <c r="E228" t="s">
        <v>1018</v>
      </c>
      <c r="F228" t="s">
        <v>1092</v>
      </c>
      <c r="G228" t="s">
        <v>1457</v>
      </c>
      <c r="H228" s="13">
        <v>187098</v>
      </c>
      <c r="I228" s="14">
        <v>52157995.060000002</v>
      </c>
      <c r="J228" t="s">
        <v>1061</v>
      </c>
      <c r="K228" s="10">
        <v>281.96114</v>
      </c>
      <c r="X228" s="10">
        <v>276.39793529411759</v>
      </c>
      <c r="Y228" s="10">
        <v>281.84009341463423</v>
      </c>
      <c r="Z228" s="11" t="str">
        <f t="shared" si="3"/>
        <v/>
      </c>
    </row>
    <row r="229" spans="1:26" x14ac:dyDescent="0.3">
      <c r="A229" t="s">
        <v>228</v>
      </c>
      <c r="B229" t="s">
        <v>1664</v>
      </c>
      <c r="C229" t="s">
        <v>1484</v>
      </c>
      <c r="D229" t="s">
        <v>1015</v>
      </c>
      <c r="E229" t="s">
        <v>1032</v>
      </c>
      <c r="F229" t="s">
        <v>1382</v>
      </c>
      <c r="G229" t="s">
        <v>1486</v>
      </c>
      <c r="H229" s="13">
        <v>118613.497</v>
      </c>
      <c r="I229" s="14">
        <v>51814367.719999999</v>
      </c>
      <c r="J229" t="s">
        <v>1052</v>
      </c>
      <c r="K229" s="10">
        <v>133.59658999999999</v>
      </c>
      <c r="S229" s="10">
        <v>142.5021837735849</v>
      </c>
      <c r="T229" s="10">
        <v>140.05213499999991</v>
      </c>
      <c r="U229" s="10">
        <v>137.8155940384616</v>
      </c>
      <c r="V229" s="10">
        <v>136.2035042307692</v>
      </c>
      <c r="W229" s="10">
        <v>133.3481944230769</v>
      </c>
      <c r="X229" s="10">
        <v>135.7507735849056</v>
      </c>
      <c r="Y229" s="10">
        <v>134.3124946341463</v>
      </c>
      <c r="Z229" s="11" t="str">
        <f t="shared" si="3"/>
        <v/>
      </c>
    </row>
    <row r="230" spans="1:26" x14ac:dyDescent="0.3">
      <c r="A230" t="s">
        <v>229</v>
      </c>
      <c r="B230" t="s">
        <v>1665</v>
      </c>
      <c r="C230" t="s">
        <v>1666</v>
      </c>
      <c r="D230" t="s">
        <v>1014</v>
      </c>
      <c r="E230" t="s">
        <v>1027</v>
      </c>
      <c r="F230" t="s">
        <v>1382</v>
      </c>
      <c r="G230" t="s">
        <v>1523</v>
      </c>
      <c r="H230" s="13">
        <v>5730.3739999999998</v>
      </c>
      <c r="I230" s="14">
        <v>51542312.149999999</v>
      </c>
      <c r="J230" t="s">
        <v>1061</v>
      </c>
      <c r="K230" s="10">
        <v>9389.0861399999994</v>
      </c>
      <c r="W230" s="10">
        <v>8822.5026268749971</v>
      </c>
      <c r="X230" s="10">
        <v>9046.5897899999927</v>
      </c>
      <c r="Y230" s="10">
        <v>9373.3509109756087</v>
      </c>
      <c r="Z230" s="11" t="str">
        <f t="shared" si="3"/>
        <v/>
      </c>
    </row>
    <row r="231" spans="1:26" x14ac:dyDescent="0.3">
      <c r="A231" t="s">
        <v>230</v>
      </c>
      <c r="B231" t="s">
        <v>1667</v>
      </c>
      <c r="C231" t="s">
        <v>1484</v>
      </c>
      <c r="D231" t="s">
        <v>1015</v>
      </c>
      <c r="E231" t="s">
        <v>1032</v>
      </c>
      <c r="F231" t="s">
        <v>1485</v>
      </c>
      <c r="G231" t="s">
        <v>1486</v>
      </c>
      <c r="H231" s="13">
        <v>631352.79599999997</v>
      </c>
      <c r="I231" s="14">
        <v>51477172.93</v>
      </c>
      <c r="J231" t="s">
        <v>1052</v>
      </c>
      <c r="K231" s="10">
        <v>111.99764</v>
      </c>
      <c r="P231" s="10">
        <v>162.69570625</v>
      </c>
      <c r="Q231" s="10">
        <v>154.92861884615391</v>
      </c>
      <c r="R231" s="10">
        <v>146.89079288461551</v>
      </c>
      <c r="S231" s="10">
        <v>143.2038394339622</v>
      </c>
      <c r="T231" s="10">
        <v>125.20218076923079</v>
      </c>
      <c r="U231" s="10">
        <v>121.50633269230769</v>
      </c>
      <c r="V231" s="10">
        <v>115.6851155769231</v>
      </c>
      <c r="W231" s="10">
        <v>112.5023163461539</v>
      </c>
      <c r="X231" s="10">
        <v>107.9370647169811</v>
      </c>
      <c r="Y231" s="10">
        <v>111.6090887804878</v>
      </c>
      <c r="Z231" s="11">
        <f t="shared" si="3"/>
        <v>-0.26518836000000001</v>
      </c>
    </row>
    <row r="232" spans="1:26" x14ac:dyDescent="0.3">
      <c r="A232" t="s">
        <v>231</v>
      </c>
      <c r="B232" t="s">
        <v>1668</v>
      </c>
      <c r="C232" t="s">
        <v>1669</v>
      </c>
      <c r="D232" t="s">
        <v>1017</v>
      </c>
      <c r="E232" t="s">
        <v>1025</v>
      </c>
      <c r="F232" t="s">
        <v>1496</v>
      </c>
      <c r="G232" t="s">
        <v>1670</v>
      </c>
      <c r="H232" s="13">
        <v>40230</v>
      </c>
      <c r="I232" s="14">
        <v>51327659.170000002</v>
      </c>
      <c r="J232" t="s">
        <v>1061</v>
      </c>
      <c r="K232" s="10">
        <v>1259.1543899999999</v>
      </c>
      <c r="W232" s="10">
        <v>1257.2180356250001</v>
      </c>
      <c r="X232" s="10">
        <v>1259.421397735849</v>
      </c>
      <c r="Y232" s="10">
        <v>1260.236521219512</v>
      </c>
      <c r="Z232" s="11" t="str">
        <f t="shared" si="3"/>
        <v/>
      </c>
    </row>
    <row r="233" spans="1:26" x14ac:dyDescent="0.3">
      <c r="A233" t="s">
        <v>232</v>
      </c>
      <c r="B233" t="s">
        <v>1671</v>
      </c>
      <c r="C233" t="s">
        <v>1672</v>
      </c>
      <c r="D233" t="s">
        <v>1014</v>
      </c>
      <c r="E233" t="s">
        <v>1025</v>
      </c>
      <c r="F233" t="s">
        <v>1068</v>
      </c>
      <c r="G233" t="s">
        <v>1200</v>
      </c>
      <c r="H233" s="13">
        <v>7146.06</v>
      </c>
      <c r="I233" s="14">
        <v>50736162.049999997</v>
      </c>
      <c r="J233" t="s">
        <v>1061</v>
      </c>
      <c r="K233" s="10">
        <v>7321.65571</v>
      </c>
      <c r="Y233" s="10">
        <v>7296.6345217073203</v>
      </c>
      <c r="Z233" s="11" t="str">
        <f t="shared" si="3"/>
        <v/>
      </c>
    </row>
    <row r="234" spans="1:26" x14ac:dyDescent="0.3">
      <c r="A234" t="s">
        <v>233</v>
      </c>
      <c r="B234" t="s">
        <v>1673</v>
      </c>
      <c r="C234" t="s">
        <v>1674</v>
      </c>
      <c r="D234" t="s">
        <v>1016</v>
      </c>
      <c r="E234" t="s">
        <v>1030</v>
      </c>
      <c r="F234" t="s">
        <v>1675</v>
      </c>
      <c r="G234" t="s">
        <v>1676</v>
      </c>
      <c r="H234" s="13">
        <v>899336</v>
      </c>
      <c r="I234" s="14">
        <v>50696974.219999999</v>
      </c>
      <c r="J234" t="s">
        <v>1052</v>
      </c>
      <c r="K234" s="10">
        <v>31.66667</v>
      </c>
      <c r="Y234" s="10">
        <v>31.66667</v>
      </c>
      <c r="Z234" s="11" t="str">
        <f t="shared" si="3"/>
        <v/>
      </c>
    </row>
    <row r="235" spans="1:26" x14ac:dyDescent="0.3">
      <c r="A235" t="s">
        <v>234</v>
      </c>
      <c r="B235" t="s">
        <v>1677</v>
      </c>
      <c r="C235" t="s">
        <v>1678</v>
      </c>
      <c r="D235" t="s">
        <v>1014</v>
      </c>
      <c r="E235" t="s">
        <v>1019</v>
      </c>
      <c r="F235" t="s">
        <v>1123</v>
      </c>
      <c r="G235" t="s">
        <v>1544</v>
      </c>
      <c r="H235" s="13">
        <v>4706680.63</v>
      </c>
      <c r="I235" s="14">
        <v>49920230.57</v>
      </c>
      <c r="J235" t="s">
        <v>1061</v>
      </c>
      <c r="K235" s="10">
        <v>10.167619999999999</v>
      </c>
      <c r="M235" s="10">
        <v>22.296682264150942</v>
      </c>
      <c r="N235" s="10">
        <v>26.835096923076922</v>
      </c>
      <c r="O235" s="10">
        <v>30.506520000000009</v>
      </c>
      <c r="P235" s="10">
        <v>33.173942115384619</v>
      </c>
      <c r="Q235" s="10">
        <v>33.970796923076932</v>
      </c>
      <c r="R235" s="10">
        <v>33.975368461538473</v>
      </c>
      <c r="S235" s="10">
        <v>33.947846981132074</v>
      </c>
      <c r="T235" s="10">
        <v>33.90190250000002</v>
      </c>
      <c r="U235" s="10">
        <v>33.934749999999987</v>
      </c>
      <c r="V235" s="10">
        <v>33.930188461538457</v>
      </c>
      <c r="W235" s="10">
        <v>10.63872288461538</v>
      </c>
      <c r="X235" s="10">
        <v>10.173876226415089</v>
      </c>
      <c r="Y235" s="10">
        <v>10.16993292682927</v>
      </c>
      <c r="Z235" s="11">
        <f t="shared" si="3"/>
        <v>-0.70055140999999999</v>
      </c>
    </row>
    <row r="236" spans="1:26" x14ac:dyDescent="0.3">
      <c r="A236" t="s">
        <v>235</v>
      </c>
      <c r="B236" t="s">
        <v>1679</v>
      </c>
      <c r="C236" t="s">
        <v>1680</v>
      </c>
      <c r="D236" t="s">
        <v>1014</v>
      </c>
      <c r="E236" t="s">
        <v>1027</v>
      </c>
      <c r="F236" t="s">
        <v>1382</v>
      </c>
      <c r="G236" t="s">
        <v>1431</v>
      </c>
      <c r="H236" s="13">
        <v>617560</v>
      </c>
      <c r="I236" s="14">
        <v>49691899.399999999</v>
      </c>
      <c r="J236" t="s">
        <v>1052</v>
      </c>
      <c r="K236" s="10">
        <v>83.200010000000006</v>
      </c>
      <c r="S236" s="10">
        <v>61.572735660377333</v>
      </c>
      <c r="T236" s="10">
        <v>65.221476730769297</v>
      </c>
      <c r="U236" s="10">
        <v>70.490821730769198</v>
      </c>
      <c r="V236" s="10">
        <v>75.384850384615419</v>
      </c>
      <c r="W236" s="10">
        <v>77.75881076923072</v>
      </c>
      <c r="X236" s="10">
        <v>79.401608301886739</v>
      </c>
      <c r="Y236" s="10">
        <v>83.389579756097547</v>
      </c>
      <c r="Z236" s="11" t="str">
        <f t="shared" si="3"/>
        <v/>
      </c>
    </row>
    <row r="237" spans="1:26" x14ac:dyDescent="0.3">
      <c r="A237" t="s">
        <v>236</v>
      </c>
      <c r="B237" t="s">
        <v>1681</v>
      </c>
      <c r="C237" t="s">
        <v>1682</v>
      </c>
      <c r="D237" t="s">
        <v>1014</v>
      </c>
      <c r="E237" t="s">
        <v>1025</v>
      </c>
      <c r="F237" t="s">
        <v>1055</v>
      </c>
      <c r="G237" t="s">
        <v>1056</v>
      </c>
      <c r="H237" s="13">
        <v>15094.15</v>
      </c>
      <c r="I237" s="14">
        <v>49561302.399999999</v>
      </c>
      <c r="J237" t="s">
        <v>1052</v>
      </c>
      <c r="K237" s="10">
        <v>3366.123</v>
      </c>
      <c r="W237" s="10">
        <v>3366.276727567566</v>
      </c>
      <c r="X237" s="10">
        <v>3360.0050071698101</v>
      </c>
      <c r="Y237" s="10">
        <v>3366.6293414634169</v>
      </c>
      <c r="Z237" s="11" t="str">
        <f t="shared" si="3"/>
        <v/>
      </c>
    </row>
    <row r="238" spans="1:26" x14ac:dyDescent="0.3">
      <c r="A238" t="s">
        <v>237</v>
      </c>
      <c r="B238" t="s">
        <v>1683</v>
      </c>
      <c r="C238" t="s">
        <v>1684</v>
      </c>
      <c r="D238" t="s">
        <v>1014</v>
      </c>
      <c r="E238" t="s">
        <v>1019</v>
      </c>
      <c r="F238" t="s">
        <v>1064</v>
      </c>
      <c r="G238" t="s">
        <v>1434</v>
      </c>
      <c r="H238" s="13">
        <v>1527614</v>
      </c>
      <c r="I238" s="14">
        <v>49530538.57</v>
      </c>
      <c r="J238" t="s">
        <v>1052</v>
      </c>
      <c r="K238" s="10">
        <v>33.190150000000003</v>
      </c>
      <c r="U238" s="10">
        <v>28.57532170731707</v>
      </c>
      <c r="V238" s="10">
        <v>29.96772134615383</v>
      </c>
      <c r="W238" s="10">
        <v>31.09135173076923</v>
      </c>
      <c r="X238" s="10">
        <v>32.12494320754719</v>
      </c>
      <c r="Y238" s="10">
        <v>33.164949512195101</v>
      </c>
      <c r="Z238" s="11" t="str">
        <f t="shared" si="3"/>
        <v/>
      </c>
    </row>
    <row r="239" spans="1:26" x14ac:dyDescent="0.3">
      <c r="A239" t="s">
        <v>238</v>
      </c>
      <c r="B239" t="s">
        <v>1685</v>
      </c>
      <c r="C239" t="s">
        <v>1686</v>
      </c>
      <c r="D239" t="s">
        <v>1014</v>
      </c>
      <c r="E239" t="s">
        <v>1025</v>
      </c>
      <c r="F239" t="s">
        <v>1096</v>
      </c>
      <c r="G239" t="s">
        <v>1097</v>
      </c>
      <c r="H239" s="13">
        <v>13514</v>
      </c>
      <c r="I239" s="14">
        <v>49331912.670000002</v>
      </c>
      <c r="J239" t="s">
        <v>1061</v>
      </c>
      <c r="K239" s="10">
        <v>3924.35313</v>
      </c>
      <c r="W239" s="10">
        <v>3595.9476350000009</v>
      </c>
      <c r="X239" s="10">
        <v>3702.416572641509</v>
      </c>
      <c r="Y239" s="10">
        <v>3947.3807782926829</v>
      </c>
      <c r="Z239" s="11" t="str">
        <f t="shared" si="3"/>
        <v/>
      </c>
    </row>
    <row r="240" spans="1:26" x14ac:dyDescent="0.3">
      <c r="A240" t="s">
        <v>239</v>
      </c>
      <c r="B240" t="s">
        <v>1687</v>
      </c>
      <c r="C240" t="s">
        <v>1688</v>
      </c>
      <c r="D240" t="s">
        <v>1014</v>
      </c>
      <c r="E240" t="s">
        <v>1025</v>
      </c>
      <c r="F240" t="s">
        <v>1123</v>
      </c>
      <c r="G240" t="s">
        <v>1689</v>
      </c>
      <c r="H240" s="13">
        <v>28221</v>
      </c>
      <c r="I240" s="14">
        <v>48849441.359999999</v>
      </c>
      <c r="J240" t="s">
        <v>1061</v>
      </c>
      <c r="K240" s="10">
        <v>1783.5237500000001</v>
      </c>
      <c r="Y240" s="10">
        <v>1788.8855178048771</v>
      </c>
      <c r="Z240" s="11" t="str">
        <f t="shared" si="3"/>
        <v/>
      </c>
    </row>
    <row r="241" spans="1:26" x14ac:dyDescent="0.3">
      <c r="A241" t="s">
        <v>240</v>
      </c>
      <c r="B241" t="s">
        <v>1690</v>
      </c>
      <c r="C241" t="s">
        <v>1691</v>
      </c>
      <c r="D241" t="s">
        <v>1014</v>
      </c>
      <c r="E241" t="s">
        <v>1021</v>
      </c>
      <c r="F241" t="s">
        <v>1692</v>
      </c>
      <c r="G241" t="s">
        <v>1693</v>
      </c>
      <c r="H241" s="13">
        <v>2008139</v>
      </c>
      <c r="I241" s="14">
        <v>48233674.789999999</v>
      </c>
      <c r="J241" t="s">
        <v>1163</v>
      </c>
      <c r="K241" s="10">
        <v>25.230519999999999</v>
      </c>
      <c r="V241" s="10">
        <v>22.01559115384616</v>
      </c>
      <c r="W241" s="10">
        <v>22.8648876923077</v>
      </c>
      <c r="X241" s="10">
        <v>24.086389622641519</v>
      </c>
      <c r="Y241" s="10">
        <v>25.26488975609756</v>
      </c>
      <c r="Z241" s="11" t="str">
        <f t="shared" si="3"/>
        <v/>
      </c>
    </row>
    <row r="242" spans="1:26" x14ac:dyDescent="0.3">
      <c r="A242" t="s">
        <v>241</v>
      </c>
      <c r="B242" t="s">
        <v>1694</v>
      </c>
      <c r="C242" t="s">
        <v>1695</v>
      </c>
      <c r="D242" t="s">
        <v>1014</v>
      </c>
      <c r="E242" t="s">
        <v>1025</v>
      </c>
      <c r="F242" t="s">
        <v>1696</v>
      </c>
      <c r="G242" t="s">
        <v>1697</v>
      </c>
      <c r="H242" s="13">
        <v>3201087</v>
      </c>
      <c r="I242" s="14">
        <v>47640360.07</v>
      </c>
      <c r="J242" t="s">
        <v>1163</v>
      </c>
      <c r="K242" s="10">
        <v>15.37781</v>
      </c>
      <c r="W242" s="10">
        <v>14.04674837837837</v>
      </c>
      <c r="X242" s="10">
        <v>14.79689528301888</v>
      </c>
      <c r="Y242" s="10">
        <v>15.38338731707317</v>
      </c>
      <c r="Z242" s="11" t="str">
        <f t="shared" si="3"/>
        <v/>
      </c>
    </row>
    <row r="243" spans="1:26" x14ac:dyDescent="0.3">
      <c r="A243" t="s">
        <v>242</v>
      </c>
      <c r="B243" t="s">
        <v>1698</v>
      </c>
      <c r="C243" t="s">
        <v>1699</v>
      </c>
      <c r="D243" t="s">
        <v>1014</v>
      </c>
      <c r="E243" t="s">
        <v>1019</v>
      </c>
      <c r="F243" t="s">
        <v>1123</v>
      </c>
      <c r="G243" t="s">
        <v>1544</v>
      </c>
      <c r="H243" s="13">
        <v>7170712.0970000001</v>
      </c>
      <c r="I243" s="14">
        <v>47463583.619999997</v>
      </c>
      <c r="J243" t="s">
        <v>1061</v>
      </c>
      <c r="K243" s="10">
        <v>6.3573700000000004</v>
      </c>
      <c r="M243" s="10">
        <v>17.322577735849059</v>
      </c>
      <c r="N243" s="10">
        <v>20.81963038461539</v>
      </c>
      <c r="O243" s="10">
        <v>23.679788461538461</v>
      </c>
      <c r="P243" s="10">
        <v>25.730284807692311</v>
      </c>
      <c r="Q243" s="10">
        <v>26.385103269230761</v>
      </c>
      <c r="R243" s="10">
        <v>26.358608461538459</v>
      </c>
      <c r="S243" s="10">
        <v>26.360517358490561</v>
      </c>
      <c r="T243" s="10">
        <v>26.36487076923078</v>
      </c>
      <c r="U243" s="10">
        <v>26.36636153846155</v>
      </c>
      <c r="V243" s="10">
        <v>26.35151346153847</v>
      </c>
      <c r="W243" s="10">
        <v>6.7574009615384636</v>
      </c>
      <c r="X243" s="10">
        <v>6.3646616981132036</v>
      </c>
      <c r="Y243" s="10">
        <v>6.3597517073170744</v>
      </c>
      <c r="Z243" s="11">
        <f t="shared" si="3"/>
        <v>-0.75853574999999995</v>
      </c>
    </row>
    <row r="244" spans="1:26" x14ac:dyDescent="0.3">
      <c r="A244" t="s">
        <v>243</v>
      </c>
      <c r="B244" t="s">
        <v>1700</v>
      </c>
      <c r="C244" t="s">
        <v>1701</v>
      </c>
      <c r="D244" t="s">
        <v>1014</v>
      </c>
      <c r="E244" t="s">
        <v>1019</v>
      </c>
      <c r="F244" t="s">
        <v>1059</v>
      </c>
      <c r="G244" t="s">
        <v>1702</v>
      </c>
      <c r="H244" s="13">
        <v>521203.3</v>
      </c>
      <c r="I244" s="14">
        <v>47419293.030000001</v>
      </c>
      <c r="J244" t="s">
        <v>1061</v>
      </c>
      <c r="K244" s="10">
        <v>91.300439999999995</v>
      </c>
      <c r="R244" s="10">
        <v>83.457185000000038</v>
      </c>
      <c r="S244" s="10">
        <v>82.850506981132057</v>
      </c>
      <c r="T244" s="10">
        <v>82.876231346153801</v>
      </c>
      <c r="U244" s="10">
        <v>82.942168653846068</v>
      </c>
      <c r="V244" s="10">
        <v>87.021841538461501</v>
      </c>
      <c r="W244" s="10">
        <v>91.33194653846158</v>
      </c>
      <c r="X244" s="10">
        <v>91.371588301886788</v>
      </c>
      <c r="Y244" s="10">
        <v>91.280030731707328</v>
      </c>
      <c r="Z244" s="11">
        <f t="shared" si="3"/>
        <v>9.4831899999999997E-2</v>
      </c>
    </row>
    <row r="245" spans="1:26" x14ac:dyDescent="0.3">
      <c r="A245" t="s">
        <v>244</v>
      </c>
      <c r="B245" t="s">
        <v>1703</v>
      </c>
      <c r="C245" t="s">
        <v>1704</v>
      </c>
      <c r="D245" t="s">
        <v>1014</v>
      </c>
      <c r="E245" t="s">
        <v>1705</v>
      </c>
      <c r="F245" t="s">
        <v>1706</v>
      </c>
      <c r="G245" t="s">
        <v>1707</v>
      </c>
      <c r="H245" s="13">
        <v>2605028</v>
      </c>
      <c r="I245" s="14">
        <v>47375879.450000003</v>
      </c>
      <c r="J245" t="s">
        <v>1052</v>
      </c>
      <c r="K245" s="10">
        <v>18.582249999999998</v>
      </c>
      <c r="W245" s="10">
        <v>17.575029230769228</v>
      </c>
      <c r="X245" s="10">
        <v>18.057380377358481</v>
      </c>
      <c r="Y245" s="10">
        <v>18.578396097560979</v>
      </c>
      <c r="Z245" s="11" t="str">
        <f t="shared" si="3"/>
        <v/>
      </c>
    </row>
    <row r="246" spans="1:26" x14ac:dyDescent="0.3">
      <c r="A246" t="s">
        <v>245</v>
      </c>
      <c r="B246" t="s">
        <v>1708</v>
      </c>
      <c r="C246" t="s">
        <v>1709</v>
      </c>
      <c r="D246" t="s">
        <v>1014</v>
      </c>
      <c r="E246" t="s">
        <v>1027</v>
      </c>
      <c r="F246" t="s">
        <v>1399</v>
      </c>
      <c r="G246" t="s">
        <v>1400</v>
      </c>
      <c r="H246" s="13">
        <v>3885833</v>
      </c>
      <c r="I246" s="14">
        <v>47319781.590000004</v>
      </c>
      <c r="J246" t="s">
        <v>1052</v>
      </c>
      <c r="K246" s="10">
        <v>12.732570000000001</v>
      </c>
      <c r="U246" s="10">
        <v>10.143890000000001</v>
      </c>
      <c r="V246" s="10">
        <v>10.73073019230768</v>
      </c>
      <c r="W246" s="10">
        <v>11.36803307692308</v>
      </c>
      <c r="X246" s="10">
        <v>12.043772264150951</v>
      </c>
      <c r="Y246" s="10">
        <v>12.74058268292683</v>
      </c>
      <c r="Z246" s="11" t="str">
        <f t="shared" si="3"/>
        <v/>
      </c>
    </row>
    <row r="247" spans="1:26" x14ac:dyDescent="0.3">
      <c r="A247" t="s">
        <v>246</v>
      </c>
      <c r="B247" t="s">
        <v>1710</v>
      </c>
      <c r="C247" t="s">
        <v>1711</v>
      </c>
      <c r="D247" t="s">
        <v>1014</v>
      </c>
      <c r="E247" t="s">
        <v>1025</v>
      </c>
      <c r="F247" t="s">
        <v>1068</v>
      </c>
      <c r="G247" t="s">
        <v>1712</v>
      </c>
      <c r="H247" s="13">
        <v>3839.5</v>
      </c>
      <c r="I247" s="14">
        <v>47112285.18</v>
      </c>
      <c r="J247" t="s">
        <v>1061</v>
      </c>
      <c r="K247" s="10">
        <v>12890.316360000001</v>
      </c>
      <c r="M247" s="10">
        <v>5421.8306309433974</v>
      </c>
      <c r="N247" s="10">
        <v>6381.7237444230786</v>
      </c>
      <c r="O247" s="10">
        <v>7282.5105053846182</v>
      </c>
      <c r="P247" s="10">
        <v>7930.3739719230816</v>
      </c>
      <c r="Q247" s="10">
        <v>8725.2178255769177</v>
      </c>
      <c r="R247" s="10">
        <v>9308.1485538461457</v>
      </c>
      <c r="S247" s="10">
        <v>9736.4911547169759</v>
      </c>
      <c r="T247" s="10">
        <v>10236.352326153839</v>
      </c>
      <c r="U247" s="10">
        <v>10809.037587115379</v>
      </c>
      <c r="V247" s="10">
        <v>11373.82113</v>
      </c>
      <c r="W247" s="10">
        <v>11836.384809230771</v>
      </c>
      <c r="X247" s="10">
        <v>12328.30040603773</v>
      </c>
      <c r="Y247" s="10">
        <v>12938.41127170732</v>
      </c>
      <c r="Z247" s="11">
        <f t="shared" si="3"/>
        <v>0.32446322</v>
      </c>
    </row>
    <row r="248" spans="1:26" x14ac:dyDescent="0.3">
      <c r="A248" t="s">
        <v>247</v>
      </c>
      <c r="B248" t="s">
        <v>1713</v>
      </c>
      <c r="C248" t="s">
        <v>1714</v>
      </c>
      <c r="D248" t="s">
        <v>1014</v>
      </c>
      <c r="E248" t="s">
        <v>1027</v>
      </c>
      <c r="F248" t="s">
        <v>1382</v>
      </c>
      <c r="G248" t="s">
        <v>1555</v>
      </c>
      <c r="H248" s="13">
        <v>97419</v>
      </c>
      <c r="I248" s="14">
        <v>47105651.219999999</v>
      </c>
      <c r="J248" t="s">
        <v>1052</v>
      </c>
      <c r="K248" s="10">
        <v>500.84366999999997</v>
      </c>
      <c r="X248" s="10">
        <v>472.67972137931048</v>
      </c>
      <c r="Y248" s="10">
        <v>500.36467512195128</v>
      </c>
      <c r="Z248" s="11" t="str">
        <f t="shared" si="3"/>
        <v/>
      </c>
    </row>
    <row r="249" spans="1:26" x14ac:dyDescent="0.3">
      <c r="A249" t="s">
        <v>248</v>
      </c>
      <c r="B249" t="s">
        <v>1715</v>
      </c>
      <c r="C249" t="s">
        <v>1716</v>
      </c>
      <c r="D249" t="s">
        <v>1014</v>
      </c>
      <c r="E249" t="s">
        <v>1027</v>
      </c>
      <c r="F249" t="s">
        <v>1382</v>
      </c>
      <c r="G249" t="s">
        <v>1555</v>
      </c>
      <c r="H249" s="13">
        <v>145973</v>
      </c>
      <c r="I249" s="14">
        <v>46648766.350000001</v>
      </c>
      <c r="J249" t="s">
        <v>1052</v>
      </c>
      <c r="K249" s="10">
        <v>332.33999</v>
      </c>
      <c r="X249" s="10">
        <v>316.19571924528282</v>
      </c>
      <c r="Y249" s="10">
        <v>333.78386926829262</v>
      </c>
      <c r="Z249" s="11" t="str">
        <f t="shared" si="3"/>
        <v/>
      </c>
    </row>
    <row r="250" spans="1:26" x14ac:dyDescent="0.3">
      <c r="A250" t="s">
        <v>249</v>
      </c>
      <c r="B250" t="s">
        <v>1717</v>
      </c>
      <c r="C250" t="s">
        <v>1718</v>
      </c>
      <c r="D250" t="s">
        <v>1014</v>
      </c>
      <c r="E250" t="s">
        <v>1020</v>
      </c>
      <c r="F250" t="s">
        <v>1092</v>
      </c>
      <c r="G250" t="s">
        <v>1719</v>
      </c>
      <c r="H250" s="13">
        <v>33311.968000000001</v>
      </c>
      <c r="I250" s="14">
        <v>46610743.740000002</v>
      </c>
      <c r="J250" t="s">
        <v>1061</v>
      </c>
      <c r="K250" s="10">
        <v>1862.74398</v>
      </c>
      <c r="X250" s="10">
        <v>1806.438903773585</v>
      </c>
      <c r="Y250" s="10">
        <v>1862.670732439025</v>
      </c>
      <c r="Z250" s="11" t="str">
        <f t="shared" si="3"/>
        <v/>
      </c>
    </row>
    <row r="251" spans="1:26" x14ac:dyDescent="0.3">
      <c r="A251" t="s">
        <v>250</v>
      </c>
      <c r="B251" t="s">
        <v>1720</v>
      </c>
      <c r="C251" t="s">
        <v>1721</v>
      </c>
      <c r="D251" t="s">
        <v>1014</v>
      </c>
      <c r="E251" t="s">
        <v>1019</v>
      </c>
      <c r="F251" t="s">
        <v>1305</v>
      </c>
      <c r="G251" t="s">
        <v>1306</v>
      </c>
      <c r="H251" s="13">
        <v>4241356.5</v>
      </c>
      <c r="I251" s="14">
        <v>46592353.890000001</v>
      </c>
      <c r="J251" t="s">
        <v>1052</v>
      </c>
      <c r="K251" s="10">
        <v>10.552149999999999</v>
      </c>
      <c r="M251" s="10">
        <v>9.4683392452830155</v>
      </c>
      <c r="N251" s="10">
        <v>10.86742326923077</v>
      </c>
      <c r="O251" s="10">
        <v>11.75327230769231</v>
      </c>
      <c r="P251" s="10">
        <v>12.460537307692309</v>
      </c>
      <c r="Q251" s="10">
        <v>13.707639038461551</v>
      </c>
      <c r="R251" s="10">
        <v>14.41568692307694</v>
      </c>
      <c r="S251" s="10">
        <v>15.116805283018859</v>
      </c>
      <c r="T251" s="10">
        <v>15.875641730769241</v>
      </c>
      <c r="U251" s="10">
        <v>16.677463461538441</v>
      </c>
      <c r="V251" s="10">
        <v>17.483245192307681</v>
      </c>
      <c r="W251" s="10">
        <v>18.29879</v>
      </c>
      <c r="X251" s="10">
        <v>10.55288528301887</v>
      </c>
      <c r="Y251" s="10">
        <v>10.55045707317073</v>
      </c>
      <c r="Z251" s="11">
        <f t="shared" si="3"/>
        <v>-0.26795820999999997</v>
      </c>
    </row>
    <row r="252" spans="1:26" x14ac:dyDescent="0.3">
      <c r="A252" t="s">
        <v>251</v>
      </c>
      <c r="B252" t="s">
        <v>1722</v>
      </c>
      <c r="C252" t="s">
        <v>1723</v>
      </c>
      <c r="D252" t="s">
        <v>1014</v>
      </c>
      <c r="E252" t="s">
        <v>1033</v>
      </c>
      <c r="F252" t="s">
        <v>1724</v>
      </c>
      <c r="G252" t="s">
        <v>1725</v>
      </c>
      <c r="H252" s="13">
        <v>3289747.33</v>
      </c>
      <c r="I252" s="14">
        <v>46583099.920000002</v>
      </c>
      <c r="J252" t="s">
        <v>1052</v>
      </c>
      <c r="K252" s="10">
        <v>17.105530000000002</v>
      </c>
      <c r="N252" s="10">
        <v>9.265387500000001</v>
      </c>
      <c r="O252" s="10">
        <v>10.14109634615385</v>
      </c>
      <c r="P252" s="10">
        <v>11.16114269230769</v>
      </c>
      <c r="Q252" s="10">
        <v>12.09606134615384</v>
      </c>
      <c r="R252" s="10">
        <v>12.70682615384616</v>
      </c>
      <c r="S252" s="10">
        <v>14.16658754716982</v>
      </c>
      <c r="T252" s="10">
        <v>15.37341480769232</v>
      </c>
      <c r="U252" s="10">
        <v>16.020099423076921</v>
      </c>
      <c r="V252" s="10">
        <v>16.78070326923077</v>
      </c>
      <c r="W252" s="10">
        <v>17.110712115384619</v>
      </c>
      <c r="X252" s="10">
        <v>17.116364716981121</v>
      </c>
      <c r="Y252" s="10">
        <v>17.105317804878059</v>
      </c>
      <c r="Z252" s="11">
        <f t="shared" si="3"/>
        <v>0.34702124000000001</v>
      </c>
    </row>
    <row r="253" spans="1:26" x14ac:dyDescent="0.3">
      <c r="A253" t="s">
        <v>252</v>
      </c>
      <c r="B253" t="s">
        <v>1726</v>
      </c>
      <c r="C253" t="s">
        <v>1727</v>
      </c>
      <c r="D253" t="s">
        <v>1014</v>
      </c>
      <c r="E253" t="s">
        <v>1027</v>
      </c>
      <c r="F253" t="s">
        <v>1181</v>
      </c>
      <c r="G253" t="s">
        <v>1348</v>
      </c>
      <c r="H253" s="13">
        <v>48748.487000000001</v>
      </c>
      <c r="I253" s="14">
        <v>45339485.729999997</v>
      </c>
      <c r="J253" t="s">
        <v>1061</v>
      </c>
      <c r="K253" s="10">
        <v>1006.57422</v>
      </c>
      <c r="P253" s="10">
        <v>674.35873269230785</v>
      </c>
      <c r="Q253" s="10">
        <v>715.84231749999969</v>
      </c>
      <c r="R253" s="10">
        <v>772.63482711538506</v>
      </c>
      <c r="S253" s="10">
        <v>804.66702641509437</v>
      </c>
      <c r="T253" s="10">
        <v>838.46494192307659</v>
      </c>
      <c r="U253" s="10">
        <v>863.46880519230751</v>
      </c>
      <c r="V253" s="10">
        <v>896.40613403846214</v>
      </c>
      <c r="W253" s="10">
        <v>915.42135096153845</v>
      </c>
      <c r="X253" s="10">
        <v>942.03363358490606</v>
      </c>
      <c r="Y253" s="10">
        <v>1001.196240243902</v>
      </c>
      <c r="Z253" s="11">
        <f t="shared" si="3"/>
        <v>0.21924821</v>
      </c>
    </row>
    <row r="254" spans="1:26" x14ac:dyDescent="0.3">
      <c r="A254" t="s">
        <v>253</v>
      </c>
      <c r="B254" t="s">
        <v>1728</v>
      </c>
      <c r="C254" t="s">
        <v>1729</v>
      </c>
      <c r="D254" t="s">
        <v>1014</v>
      </c>
      <c r="E254" t="s">
        <v>1027</v>
      </c>
      <c r="F254" t="s">
        <v>1092</v>
      </c>
      <c r="G254" t="s">
        <v>1464</v>
      </c>
      <c r="H254" s="13">
        <v>61322.36</v>
      </c>
      <c r="I254" s="14">
        <v>45279070.43</v>
      </c>
      <c r="J254" t="s">
        <v>1061</v>
      </c>
      <c r="K254" s="10">
        <v>753.57096999999999</v>
      </c>
      <c r="R254" s="10">
        <v>556.10850153846172</v>
      </c>
      <c r="S254" s="10">
        <v>580.0421188679245</v>
      </c>
      <c r="T254" s="10">
        <v>614.58961346153887</v>
      </c>
      <c r="U254" s="10">
        <v>661.92363173076899</v>
      </c>
      <c r="V254" s="10">
        <v>713.44994807692285</v>
      </c>
      <c r="W254" s="10">
        <v>725.49406999999985</v>
      </c>
      <c r="X254" s="10">
        <v>738.82921471698126</v>
      </c>
      <c r="Y254" s="10">
        <v>752.99755512195145</v>
      </c>
      <c r="Z254" s="11">
        <f t="shared" si="3"/>
        <v>0.32857026</v>
      </c>
    </row>
    <row r="255" spans="1:26" x14ac:dyDescent="0.3">
      <c r="A255" t="s">
        <v>254</v>
      </c>
      <c r="B255" t="s">
        <v>1730</v>
      </c>
      <c r="C255" t="s">
        <v>1731</v>
      </c>
      <c r="D255" t="s">
        <v>1014</v>
      </c>
      <c r="E255" t="s">
        <v>1033</v>
      </c>
      <c r="F255" t="s">
        <v>1706</v>
      </c>
      <c r="G255" t="s">
        <v>1732</v>
      </c>
      <c r="H255" s="13">
        <v>3041253</v>
      </c>
      <c r="I255" s="14">
        <v>45027602.130000003</v>
      </c>
      <c r="J255" t="s">
        <v>1052</v>
      </c>
      <c r="K255" s="10">
        <v>14.69886</v>
      </c>
      <c r="M255" s="10">
        <v>7.7000966037735781</v>
      </c>
      <c r="N255" s="10">
        <v>8.6473334615384552</v>
      </c>
      <c r="O255" s="10">
        <v>9.4670186538461518</v>
      </c>
      <c r="P255" s="10">
        <v>10.39353865384615</v>
      </c>
      <c r="Q255" s="10">
        <v>11.273890769230769</v>
      </c>
      <c r="R255" s="10">
        <v>12.247626923076909</v>
      </c>
      <c r="S255" s="10">
        <v>12.921382264150949</v>
      </c>
      <c r="T255" s="10">
        <v>13.33462903846153</v>
      </c>
      <c r="U255" s="10">
        <v>13.72041846153847</v>
      </c>
      <c r="V255" s="10">
        <v>14.254644230769239</v>
      </c>
      <c r="W255" s="10">
        <v>14.6936573076923</v>
      </c>
      <c r="X255" s="10">
        <v>14.70713603773585</v>
      </c>
      <c r="Y255" s="10">
        <v>14.69605853658536</v>
      </c>
      <c r="Z255" s="11">
        <f t="shared" si="3"/>
        <v>0.20081515999999999</v>
      </c>
    </row>
    <row r="256" spans="1:26" x14ac:dyDescent="0.3">
      <c r="A256" t="s">
        <v>255</v>
      </c>
      <c r="B256" t="s">
        <v>1733</v>
      </c>
      <c r="C256" t="s">
        <v>1734</v>
      </c>
      <c r="D256" t="s">
        <v>1014</v>
      </c>
      <c r="E256" t="s">
        <v>1030</v>
      </c>
      <c r="F256" t="s">
        <v>1735</v>
      </c>
      <c r="G256" t="s">
        <v>1736</v>
      </c>
      <c r="H256" s="13">
        <v>1966647</v>
      </c>
      <c r="I256" s="14">
        <v>43684831.810000002</v>
      </c>
      <c r="J256" t="s">
        <v>1052</v>
      </c>
      <c r="K256" s="10">
        <v>22.855540000000001</v>
      </c>
      <c r="U256" s="10">
        <v>18.679835000000011</v>
      </c>
      <c r="V256" s="10">
        <v>20.048205384615411</v>
      </c>
      <c r="W256" s="10">
        <v>21.05202942307692</v>
      </c>
      <c r="X256" s="10">
        <v>21.938406415094349</v>
      </c>
      <c r="Y256" s="10">
        <v>22.838147317073179</v>
      </c>
      <c r="Z256" s="11" t="str">
        <f t="shared" si="3"/>
        <v/>
      </c>
    </row>
    <row r="257" spans="1:26" x14ac:dyDescent="0.3">
      <c r="A257" t="s">
        <v>256</v>
      </c>
      <c r="B257" t="s">
        <v>1737</v>
      </c>
      <c r="C257" t="s">
        <v>1738</v>
      </c>
      <c r="D257" t="s">
        <v>1014</v>
      </c>
      <c r="E257" t="s">
        <v>1032</v>
      </c>
      <c r="F257" t="s">
        <v>1106</v>
      </c>
      <c r="G257" t="s">
        <v>1739</v>
      </c>
      <c r="H257" s="13">
        <v>975370.4</v>
      </c>
      <c r="I257" s="14">
        <v>43375365.759999998</v>
      </c>
      <c r="J257" t="s">
        <v>1163</v>
      </c>
      <c r="K257" s="10">
        <v>45.034709999999997</v>
      </c>
      <c r="W257" s="10">
        <v>42.689529000000007</v>
      </c>
      <c r="X257" s="10">
        <v>43.850098113207537</v>
      </c>
      <c r="Y257" s="10">
        <v>45.074050243902441</v>
      </c>
      <c r="Z257" s="11" t="str">
        <f t="shared" si="3"/>
        <v/>
      </c>
    </row>
    <row r="258" spans="1:26" x14ac:dyDescent="0.3">
      <c r="A258" t="s">
        <v>257</v>
      </c>
      <c r="B258" t="s">
        <v>1740</v>
      </c>
      <c r="C258" t="s">
        <v>1224</v>
      </c>
      <c r="D258" t="s">
        <v>1014</v>
      </c>
      <c r="E258" t="s">
        <v>1018</v>
      </c>
      <c r="F258" t="s">
        <v>1068</v>
      </c>
      <c r="G258" t="s">
        <v>1225</v>
      </c>
      <c r="H258" s="13">
        <v>2264962</v>
      </c>
      <c r="I258" s="14">
        <v>43255930.350000001</v>
      </c>
      <c r="J258" t="s">
        <v>1052</v>
      </c>
      <c r="K258" s="10">
        <v>19.541869999999999</v>
      </c>
      <c r="M258" s="10">
        <v>9.3195515094339676</v>
      </c>
      <c r="N258" s="10">
        <v>10.546904038461539</v>
      </c>
      <c r="O258" s="10">
        <v>11.372115769230771</v>
      </c>
      <c r="P258" s="10">
        <v>12.317477307692309</v>
      </c>
      <c r="Q258" s="10">
        <v>13.416417692307689</v>
      </c>
      <c r="R258" s="10">
        <v>14.330269615384619</v>
      </c>
      <c r="S258" s="10">
        <v>15.00475679245282</v>
      </c>
      <c r="T258" s="10">
        <v>15.716345192307701</v>
      </c>
      <c r="U258" s="10">
        <v>16.500243653846169</v>
      </c>
      <c r="V258" s="10">
        <v>17.308671538461549</v>
      </c>
      <c r="W258" s="10">
        <v>18.153488846153849</v>
      </c>
      <c r="X258" s="10">
        <v>19.025059056603769</v>
      </c>
      <c r="Y258" s="10">
        <v>19.50297853658536</v>
      </c>
      <c r="Z258" s="11">
        <f t="shared" ref="Z258:Z321" si="4">IF(AND(ISNUMBER(INDEX($L258:$Y258,MATCH(BaseYear,p_years,0))),ISNUMBER(INDEX($L258:$Y258,MATCH(EndYear,p_years,0)))),ROUND(INDEX($L258:$Y258,MATCH(EndYear,p_years,0))/INDEX($L258:$Y258,MATCH(BaseYear,p_years,0))-1,8),"")</f>
        <v>0.32761348000000001</v>
      </c>
    </row>
    <row r="259" spans="1:26" x14ac:dyDescent="0.3">
      <c r="A259" t="s">
        <v>258</v>
      </c>
      <c r="B259" t="s">
        <v>1741</v>
      </c>
      <c r="C259" t="s">
        <v>1742</v>
      </c>
      <c r="D259" t="s">
        <v>1014</v>
      </c>
      <c r="E259" t="s">
        <v>1027</v>
      </c>
      <c r="F259" t="s">
        <v>1399</v>
      </c>
      <c r="G259" t="s">
        <v>1400</v>
      </c>
      <c r="H259" s="13">
        <v>3530389</v>
      </c>
      <c r="I259" s="14">
        <v>42633503.159999996</v>
      </c>
      <c r="J259" t="s">
        <v>1052</v>
      </c>
      <c r="K259" s="10">
        <v>12.731</v>
      </c>
      <c r="U259" s="10">
        <v>10.114579999999989</v>
      </c>
      <c r="V259" s="10">
        <v>10.7088</v>
      </c>
      <c r="W259" s="10">
        <v>11.371793653846151</v>
      </c>
      <c r="X259" s="10">
        <v>12.039213396226421</v>
      </c>
      <c r="Y259" s="10">
        <v>12.74037341463416</v>
      </c>
      <c r="Z259" s="11" t="str">
        <f t="shared" si="4"/>
        <v/>
      </c>
    </row>
    <row r="260" spans="1:26" x14ac:dyDescent="0.3">
      <c r="A260" t="s">
        <v>259</v>
      </c>
      <c r="B260" t="s">
        <v>1743</v>
      </c>
      <c r="C260" t="s">
        <v>1744</v>
      </c>
      <c r="D260" t="s">
        <v>1015</v>
      </c>
      <c r="E260" t="s">
        <v>1029</v>
      </c>
      <c r="F260" t="s">
        <v>1745</v>
      </c>
      <c r="G260" t="s">
        <v>1746</v>
      </c>
      <c r="H260" s="13">
        <v>983828567.82700002</v>
      </c>
      <c r="I260" s="14">
        <v>42576802.549999997</v>
      </c>
      <c r="J260" t="s">
        <v>1061</v>
      </c>
      <c r="K260" s="10">
        <v>2.0799999999999998E-3</v>
      </c>
      <c r="M260" s="10">
        <v>1.5499999999999999E-3</v>
      </c>
      <c r="N260" s="10">
        <v>1.5499999999999999E-3</v>
      </c>
      <c r="X260" s="10">
        <v>2.2186792452830182E-3</v>
      </c>
      <c r="Y260" s="10">
        <v>2.0470731707317069E-3</v>
      </c>
      <c r="Z260" s="11" t="str">
        <f t="shared" si="4"/>
        <v/>
      </c>
    </row>
    <row r="261" spans="1:26" x14ac:dyDescent="0.3">
      <c r="A261" t="s">
        <v>260</v>
      </c>
      <c r="B261" t="s">
        <v>1747</v>
      </c>
      <c r="C261" t="s">
        <v>1748</v>
      </c>
      <c r="D261" t="s">
        <v>1014</v>
      </c>
      <c r="E261" t="s">
        <v>1027</v>
      </c>
      <c r="F261" t="s">
        <v>1096</v>
      </c>
      <c r="G261" t="s">
        <v>1749</v>
      </c>
      <c r="H261" s="13">
        <v>22439809.699999999</v>
      </c>
      <c r="I261" s="14">
        <v>42116872.719999999</v>
      </c>
      <c r="J261" t="s">
        <v>1061</v>
      </c>
      <c r="K261" s="10">
        <v>1.9307700000000001</v>
      </c>
      <c r="M261" s="10">
        <v>0.9818413207547162</v>
      </c>
      <c r="N261" s="10">
        <v>1.151035961538462</v>
      </c>
      <c r="O261" s="10">
        <v>1.286632115384615</v>
      </c>
      <c r="P261" s="10">
        <v>1.3575217307692311</v>
      </c>
      <c r="Q261" s="10">
        <v>1.454630576923077</v>
      </c>
      <c r="R261" s="10">
        <v>1.5431934615384619</v>
      </c>
      <c r="S261" s="10">
        <v>1.544412075471699</v>
      </c>
      <c r="T261" s="10">
        <v>1.535143461538462</v>
      </c>
      <c r="U261" s="10">
        <v>1.5757303846153849</v>
      </c>
      <c r="V261" s="10">
        <v>1.7762909615384599</v>
      </c>
      <c r="W261" s="10">
        <v>1.8330655769230759</v>
      </c>
      <c r="X261" s="10">
        <v>1.875998301886793</v>
      </c>
      <c r="Y261" s="10">
        <v>1.9305580487804881</v>
      </c>
      <c r="Z261" s="11">
        <f t="shared" si="4"/>
        <v>0.21565983</v>
      </c>
    </row>
    <row r="262" spans="1:26" x14ac:dyDescent="0.3">
      <c r="A262" t="s">
        <v>261</v>
      </c>
      <c r="B262" t="s">
        <v>1750</v>
      </c>
      <c r="C262" t="s">
        <v>1304</v>
      </c>
      <c r="D262" t="s">
        <v>1014</v>
      </c>
      <c r="E262" t="s">
        <v>1019</v>
      </c>
      <c r="F262" t="s">
        <v>1305</v>
      </c>
      <c r="G262" t="s">
        <v>1306</v>
      </c>
      <c r="H262" s="13">
        <v>3859500</v>
      </c>
      <c r="I262" s="14">
        <v>41994791.060000002</v>
      </c>
      <c r="J262" t="s">
        <v>1052</v>
      </c>
      <c r="K262" s="10">
        <v>10.55179</v>
      </c>
      <c r="M262" s="10">
        <v>9.4895890566037782</v>
      </c>
      <c r="N262" s="10">
        <v>10.890763269230771</v>
      </c>
      <c r="O262" s="10">
        <v>11.709141923076929</v>
      </c>
      <c r="P262" s="10">
        <v>12.457584423076931</v>
      </c>
      <c r="Q262" s="10">
        <v>13.71448442307693</v>
      </c>
      <c r="R262" s="10">
        <v>14.41226384615385</v>
      </c>
      <c r="S262" s="10">
        <v>15.12254679245283</v>
      </c>
      <c r="T262" s="10">
        <v>15.87590999999999</v>
      </c>
      <c r="U262" s="10">
        <v>16.66652346153845</v>
      </c>
      <c r="V262" s="10">
        <v>17.472736346153852</v>
      </c>
      <c r="W262" s="10">
        <v>18.298023653846169</v>
      </c>
      <c r="X262" s="10">
        <v>10.554373773584899</v>
      </c>
      <c r="Y262" s="10">
        <v>10.55428</v>
      </c>
      <c r="Z262" s="11">
        <f t="shared" si="4"/>
        <v>-0.26768106000000003</v>
      </c>
    </row>
    <row r="263" spans="1:26" x14ac:dyDescent="0.3">
      <c r="A263" t="s">
        <v>262</v>
      </c>
      <c r="B263" t="s">
        <v>1751</v>
      </c>
      <c r="C263" t="s">
        <v>1752</v>
      </c>
      <c r="D263" t="s">
        <v>1015</v>
      </c>
      <c r="E263" t="s">
        <v>1030</v>
      </c>
      <c r="F263" t="s">
        <v>1608</v>
      </c>
      <c r="G263" t="s">
        <v>1619</v>
      </c>
      <c r="H263" s="13">
        <v>23675820.324999999</v>
      </c>
      <c r="I263" s="14">
        <v>41911696.32</v>
      </c>
      <c r="J263" t="s">
        <v>1052</v>
      </c>
      <c r="K263" s="10">
        <v>0.66281999999999996</v>
      </c>
      <c r="M263" s="10">
        <v>5.9222152380952391</v>
      </c>
      <c r="N263" s="10">
        <v>5.4052905769230781</v>
      </c>
      <c r="O263" s="10">
        <v>4.7915128846153836</v>
      </c>
      <c r="P263" s="10">
        <v>3.8636271153846171</v>
      </c>
      <c r="Q263" s="10">
        <v>2.468612307692307</v>
      </c>
      <c r="R263" s="10">
        <v>1.786813653846155</v>
      </c>
      <c r="S263" s="10">
        <v>1.4143775471698119</v>
      </c>
      <c r="T263" s="10">
        <v>1.1059600000000001</v>
      </c>
      <c r="U263" s="10">
        <v>1.0268371153846161</v>
      </c>
      <c r="V263" s="10">
        <v>0.99031288461538469</v>
      </c>
      <c r="W263" s="10">
        <v>0.87680134615384575</v>
      </c>
      <c r="X263" s="10">
        <v>0.72262188679245276</v>
      </c>
      <c r="Y263" s="10">
        <v>0.66755682926829296</v>
      </c>
      <c r="Z263" s="11">
        <f t="shared" si="4"/>
        <v>-0.59558071999999995</v>
      </c>
    </row>
    <row r="264" spans="1:26" x14ac:dyDescent="0.3">
      <c r="A264" t="s">
        <v>263</v>
      </c>
      <c r="B264" t="s">
        <v>1753</v>
      </c>
      <c r="C264" t="s">
        <v>1754</v>
      </c>
      <c r="D264" t="s">
        <v>1014</v>
      </c>
      <c r="E264" t="s">
        <v>1033</v>
      </c>
      <c r="F264" t="s">
        <v>1755</v>
      </c>
      <c r="G264" t="s">
        <v>1756</v>
      </c>
      <c r="H264" s="13">
        <v>2579561.2999999998</v>
      </c>
      <c r="I264" s="14">
        <v>41865357.369999997</v>
      </c>
      <c r="J264" t="s">
        <v>1052</v>
      </c>
      <c r="K264" s="10">
        <v>16.45975</v>
      </c>
      <c r="T264" s="10">
        <v>14.696450000000009</v>
      </c>
      <c r="U264" s="10">
        <v>14.678122307692311</v>
      </c>
      <c r="V264" s="10">
        <v>15.088865384615371</v>
      </c>
      <c r="W264" s="10">
        <v>15.531401923076929</v>
      </c>
      <c r="X264" s="10">
        <v>15.99018132075471</v>
      </c>
      <c r="Y264" s="10">
        <v>16.455298536585371</v>
      </c>
      <c r="Z264" s="11" t="str">
        <f t="shared" si="4"/>
        <v/>
      </c>
    </row>
    <row r="265" spans="1:26" x14ac:dyDescent="0.3">
      <c r="A265" t="s">
        <v>264</v>
      </c>
      <c r="B265" t="s">
        <v>1757</v>
      </c>
      <c r="C265" t="s">
        <v>1312</v>
      </c>
      <c r="D265" t="s">
        <v>1014</v>
      </c>
      <c r="E265" t="s">
        <v>1021</v>
      </c>
      <c r="F265" t="s">
        <v>1055</v>
      </c>
      <c r="G265" t="s">
        <v>1313</v>
      </c>
      <c r="H265" s="13">
        <v>1615182.879</v>
      </c>
      <c r="I265" s="14">
        <v>41796001.119999997</v>
      </c>
      <c r="J265" t="s">
        <v>1052</v>
      </c>
      <c r="K265" s="10">
        <v>10.313330000000001</v>
      </c>
      <c r="M265" s="10">
        <v>5.2079877358490601</v>
      </c>
      <c r="N265" s="10">
        <v>6.0248069230769241</v>
      </c>
      <c r="O265" s="10">
        <v>6.8671551923076901</v>
      </c>
      <c r="P265" s="10">
        <v>7.4398325000000067</v>
      </c>
      <c r="Q265" s="10">
        <v>8.1314153846153872</v>
      </c>
      <c r="R265" s="10">
        <v>8.9138188461538395</v>
      </c>
      <c r="S265" s="10">
        <v>9.3575577358490634</v>
      </c>
      <c r="T265" s="10">
        <v>9.8122948076923002</v>
      </c>
      <c r="U265" s="10">
        <v>10.275472307692301</v>
      </c>
      <c r="V265" s="10">
        <v>10.320346153846151</v>
      </c>
      <c r="W265" s="10">
        <v>10.31981076923077</v>
      </c>
      <c r="X265" s="10">
        <v>10.31746132075472</v>
      </c>
      <c r="Y265" s="10">
        <v>10.31446268292683</v>
      </c>
      <c r="Z265" s="11">
        <f t="shared" si="4"/>
        <v>0.15746814000000001</v>
      </c>
    </row>
    <row r="266" spans="1:26" x14ac:dyDescent="0.3">
      <c r="A266" t="s">
        <v>265</v>
      </c>
      <c r="B266" t="s">
        <v>1758</v>
      </c>
      <c r="C266" t="s">
        <v>1759</v>
      </c>
      <c r="D266" t="s">
        <v>1014</v>
      </c>
      <c r="E266" t="s">
        <v>1027</v>
      </c>
      <c r="F266" t="s">
        <v>1536</v>
      </c>
      <c r="G266" t="s">
        <v>1537</v>
      </c>
      <c r="H266" s="13">
        <v>1074607</v>
      </c>
      <c r="I266" s="14">
        <v>41461728.880000003</v>
      </c>
      <c r="J266" t="s">
        <v>1052</v>
      </c>
      <c r="K266" s="10">
        <v>39.871519999999997</v>
      </c>
      <c r="U266" s="10">
        <v>33.975920000000023</v>
      </c>
      <c r="V266" s="10">
        <v>35.651869615384598</v>
      </c>
      <c r="W266" s="10">
        <v>37.710698269230782</v>
      </c>
      <c r="X266" s="10">
        <v>38.746952452830172</v>
      </c>
      <c r="Y266" s="10">
        <v>39.900047804878056</v>
      </c>
      <c r="Z266" s="11" t="str">
        <f t="shared" si="4"/>
        <v/>
      </c>
    </row>
    <row r="267" spans="1:26" x14ac:dyDescent="0.3">
      <c r="A267" t="s">
        <v>266</v>
      </c>
      <c r="B267" t="s">
        <v>1760</v>
      </c>
      <c r="C267" t="s">
        <v>1761</v>
      </c>
      <c r="D267" t="s">
        <v>1015</v>
      </c>
      <c r="E267" t="s">
        <v>1019</v>
      </c>
      <c r="F267" t="s">
        <v>1064</v>
      </c>
      <c r="G267" t="s">
        <v>1591</v>
      </c>
      <c r="H267" s="13">
        <v>5899908.6600000001</v>
      </c>
      <c r="I267" s="14">
        <v>41357411.850000001</v>
      </c>
      <c r="J267" t="s">
        <v>1061</v>
      </c>
      <c r="K267" s="10">
        <v>6.9548199999999998</v>
      </c>
      <c r="S267" s="10">
        <v>13.90413142857143</v>
      </c>
      <c r="T267" s="10">
        <v>13.87373096153846</v>
      </c>
      <c r="U267" s="10">
        <v>13.887203269230771</v>
      </c>
      <c r="V267" s="10">
        <v>13.892497307692301</v>
      </c>
      <c r="W267" s="10">
        <v>7.0819761538461554</v>
      </c>
      <c r="X267" s="10">
        <v>6.9531033962264122</v>
      </c>
      <c r="Y267" s="10">
        <v>6.9566963414634166</v>
      </c>
      <c r="Z267" s="11" t="str">
        <f t="shared" si="4"/>
        <v/>
      </c>
    </row>
    <row r="268" spans="1:26" x14ac:dyDescent="0.3">
      <c r="A268" t="s">
        <v>267</v>
      </c>
      <c r="B268" t="s">
        <v>1762</v>
      </c>
      <c r="C268" t="s">
        <v>1763</v>
      </c>
      <c r="D268" t="s">
        <v>1014</v>
      </c>
      <c r="E268" t="s">
        <v>1027</v>
      </c>
      <c r="F268" t="s">
        <v>1131</v>
      </c>
      <c r="G268" t="s">
        <v>1330</v>
      </c>
      <c r="H268" s="13">
        <v>840061.5</v>
      </c>
      <c r="I268" s="14">
        <v>40807179.859999999</v>
      </c>
      <c r="J268" t="s">
        <v>1052</v>
      </c>
      <c r="K268" s="10">
        <v>49.467419999999997</v>
      </c>
      <c r="O268" s="10">
        <v>29.688825405405399</v>
      </c>
      <c r="P268" s="10">
        <v>31.626286538461539</v>
      </c>
      <c r="Q268" s="10">
        <v>34.639957884615377</v>
      </c>
      <c r="R268" s="10">
        <v>36.748766538461552</v>
      </c>
      <c r="S268" s="10">
        <v>37.193959245282997</v>
      </c>
      <c r="T268" s="10">
        <v>39.624700576923097</v>
      </c>
      <c r="U268" s="10">
        <v>42.370497499999971</v>
      </c>
      <c r="V268" s="10">
        <v>45.124091923076882</v>
      </c>
      <c r="W268" s="10">
        <v>46.937676730769212</v>
      </c>
      <c r="X268" s="10">
        <v>48.316892264150937</v>
      </c>
      <c r="Y268" s="10">
        <v>49.55704731707317</v>
      </c>
      <c r="Z268" s="11">
        <f t="shared" si="4"/>
        <v>0.3147895</v>
      </c>
    </row>
    <row r="269" spans="1:26" x14ac:dyDescent="0.3">
      <c r="A269" t="s">
        <v>268</v>
      </c>
      <c r="B269" t="s">
        <v>1764</v>
      </c>
      <c r="C269" t="s">
        <v>1765</v>
      </c>
      <c r="D269" t="s">
        <v>1015</v>
      </c>
      <c r="E269" t="s">
        <v>1032</v>
      </c>
      <c r="F269" t="s">
        <v>1106</v>
      </c>
      <c r="G269" t="s">
        <v>1766</v>
      </c>
      <c r="H269" s="13">
        <v>2344582.9</v>
      </c>
      <c r="I269" s="14">
        <v>40508773.939999998</v>
      </c>
      <c r="J269" t="s">
        <v>1163</v>
      </c>
      <c r="K269" s="10">
        <v>17.26446</v>
      </c>
      <c r="S269" s="10">
        <v>23.553874761904751</v>
      </c>
      <c r="T269" s="10">
        <v>23.366503076923081</v>
      </c>
      <c r="U269" s="10">
        <v>23.22133730769232</v>
      </c>
      <c r="V269" s="10">
        <v>22.621774038461549</v>
      </c>
      <c r="W269" s="10">
        <v>19.108112500000001</v>
      </c>
      <c r="X269" s="10">
        <v>19.07128075471698</v>
      </c>
      <c r="Y269" s="10">
        <v>18.80866146341463</v>
      </c>
      <c r="Z269" s="11" t="str">
        <f t="shared" si="4"/>
        <v/>
      </c>
    </row>
    <row r="270" spans="1:26" x14ac:dyDescent="0.3">
      <c r="A270" t="s">
        <v>269</v>
      </c>
      <c r="B270" t="s">
        <v>1767</v>
      </c>
      <c r="C270" t="s">
        <v>1768</v>
      </c>
      <c r="D270" t="s">
        <v>1014</v>
      </c>
      <c r="E270" t="s">
        <v>1027</v>
      </c>
      <c r="F270" t="s">
        <v>1181</v>
      </c>
      <c r="G270" t="s">
        <v>1622</v>
      </c>
      <c r="H270" s="13">
        <v>766076</v>
      </c>
      <c r="I270" s="14">
        <v>40363594.68</v>
      </c>
      <c r="J270" t="s">
        <v>1052</v>
      </c>
      <c r="K270" s="10">
        <v>55.213790000000003</v>
      </c>
      <c r="U270" s="10">
        <v>44.610852424242417</v>
      </c>
      <c r="V270" s="10">
        <v>47.466118653846152</v>
      </c>
      <c r="W270" s="10">
        <v>50.435896538461549</v>
      </c>
      <c r="X270" s="10">
        <v>52.452826226415112</v>
      </c>
      <c r="Y270" s="10">
        <v>55.133225365853633</v>
      </c>
      <c r="Z270" s="11" t="str">
        <f t="shared" si="4"/>
        <v/>
      </c>
    </row>
    <row r="271" spans="1:26" x14ac:dyDescent="0.3">
      <c r="A271" t="s">
        <v>270</v>
      </c>
      <c r="B271" t="s">
        <v>1769</v>
      </c>
      <c r="C271" t="s">
        <v>1770</v>
      </c>
      <c r="D271" t="s">
        <v>1014</v>
      </c>
      <c r="E271" t="s">
        <v>1020</v>
      </c>
      <c r="F271" t="s">
        <v>1114</v>
      </c>
      <c r="G271" t="s">
        <v>1374</v>
      </c>
      <c r="H271" s="13">
        <v>55333</v>
      </c>
      <c r="I271" s="14">
        <v>40311480.289999999</v>
      </c>
      <c r="J271" t="s">
        <v>1052</v>
      </c>
      <c r="K271" s="10">
        <v>752.22400000000005</v>
      </c>
      <c r="M271" s="10">
        <v>428.56468358490588</v>
      </c>
      <c r="N271" s="10">
        <v>469.4471699999998</v>
      </c>
      <c r="O271" s="10">
        <v>506.99825000000021</v>
      </c>
      <c r="P271" s="10">
        <v>547.56319000000053</v>
      </c>
      <c r="Q271" s="10">
        <v>590.53120980769199</v>
      </c>
      <c r="R271" s="10">
        <v>619.24209307692274</v>
      </c>
      <c r="S271" s="10">
        <v>639.22528981132052</v>
      </c>
      <c r="T271" s="10">
        <v>658.39508346153877</v>
      </c>
      <c r="U271" s="10">
        <v>678.52700000000107</v>
      </c>
      <c r="V271" s="10">
        <v>698.88280999999972</v>
      </c>
      <c r="W271" s="10">
        <v>713.95571326923005</v>
      </c>
      <c r="X271" s="10">
        <v>726.7752843396222</v>
      </c>
      <c r="Y271" s="10">
        <v>749.58091609756093</v>
      </c>
      <c r="Z271" s="11">
        <f t="shared" si="4"/>
        <v>0.17365290999999999</v>
      </c>
    </row>
    <row r="272" spans="1:26" x14ac:dyDescent="0.3">
      <c r="A272" t="s">
        <v>271</v>
      </c>
      <c r="B272" t="s">
        <v>1771</v>
      </c>
      <c r="C272" t="s">
        <v>1772</v>
      </c>
      <c r="D272" t="s">
        <v>1014</v>
      </c>
      <c r="E272" t="s">
        <v>1027</v>
      </c>
      <c r="F272" t="s">
        <v>1181</v>
      </c>
      <c r="G272" t="s">
        <v>1622</v>
      </c>
      <c r="H272" s="13">
        <v>766275</v>
      </c>
      <c r="I272" s="14">
        <v>40243006.390000001</v>
      </c>
      <c r="J272" t="s">
        <v>1052</v>
      </c>
      <c r="K272" s="10">
        <v>55.119410000000002</v>
      </c>
      <c r="U272" s="10">
        <v>44.847737142857127</v>
      </c>
      <c r="V272" s="10">
        <v>47.38373903846157</v>
      </c>
      <c r="W272" s="10">
        <v>50.465392500000007</v>
      </c>
      <c r="X272" s="10">
        <v>52.413325094339598</v>
      </c>
      <c r="Y272" s="10">
        <v>55.040445365853643</v>
      </c>
      <c r="Z272" s="11" t="str">
        <f t="shared" si="4"/>
        <v/>
      </c>
    </row>
    <row r="273" spans="1:26" x14ac:dyDescent="0.3">
      <c r="A273" t="s">
        <v>272</v>
      </c>
      <c r="B273" t="s">
        <v>1773</v>
      </c>
      <c r="C273" t="s">
        <v>1774</v>
      </c>
      <c r="D273" t="s">
        <v>1014</v>
      </c>
      <c r="E273" t="s">
        <v>1032</v>
      </c>
      <c r="F273" t="s">
        <v>1382</v>
      </c>
      <c r="G273" t="s">
        <v>1775</v>
      </c>
      <c r="H273" s="13">
        <v>1481476.4350000001</v>
      </c>
      <c r="I273" s="14">
        <v>40137791.909999996</v>
      </c>
      <c r="J273" t="s">
        <v>1163</v>
      </c>
      <c r="K273" s="10">
        <v>27.56579</v>
      </c>
      <c r="Q273" s="10">
        <v>20.457430000000009</v>
      </c>
      <c r="R273" s="10">
        <v>21.67077134615386</v>
      </c>
      <c r="S273" s="10">
        <v>23.004926037735849</v>
      </c>
      <c r="T273" s="10">
        <v>24.127028846153859</v>
      </c>
      <c r="U273" s="10">
        <v>24.20183384615386</v>
      </c>
      <c r="V273" s="10">
        <v>25.416865576923101</v>
      </c>
      <c r="W273" s="10">
        <v>25.945719038461551</v>
      </c>
      <c r="X273" s="10">
        <v>26.527848490566029</v>
      </c>
      <c r="Y273" s="10">
        <v>27.5655812195122</v>
      </c>
      <c r="Z273" s="11">
        <f t="shared" si="4"/>
        <v>0.22413032999999999</v>
      </c>
    </row>
    <row r="274" spans="1:26" x14ac:dyDescent="0.3">
      <c r="A274" t="s">
        <v>273</v>
      </c>
      <c r="B274" t="s">
        <v>1776</v>
      </c>
      <c r="C274" t="s">
        <v>1777</v>
      </c>
      <c r="D274" t="s">
        <v>1014</v>
      </c>
      <c r="E274" t="s">
        <v>1027</v>
      </c>
      <c r="F274" t="s">
        <v>1382</v>
      </c>
      <c r="G274" t="s">
        <v>1431</v>
      </c>
      <c r="H274" s="13">
        <v>445099</v>
      </c>
      <c r="I274" s="14">
        <v>39946562.740000002</v>
      </c>
      <c r="J274" t="s">
        <v>1052</v>
      </c>
      <c r="K274" s="10">
        <v>93.97081</v>
      </c>
      <c r="S274" s="10">
        <v>69.782809999999998</v>
      </c>
      <c r="T274" s="10">
        <v>73.820136730769264</v>
      </c>
      <c r="U274" s="10">
        <v>79.62579576923082</v>
      </c>
      <c r="V274" s="10">
        <v>85.055997115384585</v>
      </c>
      <c r="W274" s="10">
        <v>87.4715176923077</v>
      </c>
      <c r="X274" s="10">
        <v>89.433398113207517</v>
      </c>
      <c r="Y274" s="10">
        <v>94.021422195121957</v>
      </c>
      <c r="Z274" s="11" t="str">
        <f t="shared" si="4"/>
        <v/>
      </c>
    </row>
    <row r="275" spans="1:26" x14ac:dyDescent="0.3">
      <c r="A275" t="s">
        <v>274</v>
      </c>
      <c r="B275" t="s">
        <v>1778</v>
      </c>
      <c r="C275" t="s">
        <v>1779</v>
      </c>
      <c r="D275" t="s">
        <v>1014</v>
      </c>
      <c r="E275" t="s">
        <v>1027</v>
      </c>
      <c r="F275" t="s">
        <v>1209</v>
      </c>
      <c r="G275" t="s">
        <v>1210</v>
      </c>
      <c r="H275" s="13">
        <v>728264</v>
      </c>
      <c r="I275" s="14">
        <v>39941705.969999999</v>
      </c>
      <c r="J275" t="s">
        <v>1052</v>
      </c>
      <c r="K275" s="10">
        <v>57.242959999999997</v>
      </c>
      <c r="V275" s="10">
        <v>50.066110000000009</v>
      </c>
      <c r="W275" s="10">
        <v>53.140935384615418</v>
      </c>
      <c r="X275" s="10">
        <v>54.648949056603769</v>
      </c>
      <c r="Y275" s="10">
        <v>57.264944878048787</v>
      </c>
      <c r="Z275" s="11" t="str">
        <f t="shared" si="4"/>
        <v/>
      </c>
    </row>
    <row r="276" spans="1:26" x14ac:dyDescent="0.3">
      <c r="A276" t="s">
        <v>275</v>
      </c>
      <c r="B276" t="s">
        <v>1780</v>
      </c>
      <c r="C276" t="s">
        <v>1781</v>
      </c>
      <c r="D276" t="s">
        <v>1014</v>
      </c>
      <c r="E276" t="s">
        <v>1020</v>
      </c>
      <c r="F276" t="s">
        <v>1114</v>
      </c>
      <c r="G276" t="s">
        <v>1782</v>
      </c>
      <c r="H276" s="13">
        <v>2650648</v>
      </c>
      <c r="I276" s="14">
        <v>39599203.509999998</v>
      </c>
      <c r="J276" t="s">
        <v>1163</v>
      </c>
      <c r="K276" s="10">
        <v>15.074439999999999</v>
      </c>
      <c r="M276" s="10">
        <v>6.914376981132075</v>
      </c>
      <c r="N276" s="10">
        <v>8.2985276923076956</v>
      </c>
      <c r="O276" s="10">
        <v>9.9392223076923081</v>
      </c>
      <c r="P276" s="10">
        <v>11.0642501923077</v>
      </c>
      <c r="Q276" s="10">
        <v>11.37365134615384</v>
      </c>
      <c r="R276" s="10">
        <v>11.92855346153846</v>
      </c>
      <c r="S276" s="10">
        <v>12.52584245283019</v>
      </c>
      <c r="T276" s="10">
        <v>12.899251346153839</v>
      </c>
      <c r="U276" s="10">
        <v>13.289700000000011</v>
      </c>
      <c r="V276" s="10">
        <v>13.95499115384615</v>
      </c>
      <c r="W276" s="10">
        <v>14.393619615384621</v>
      </c>
      <c r="X276" s="10">
        <v>14.716420754716969</v>
      </c>
      <c r="Y276" s="10">
        <v>15.08922121951219</v>
      </c>
      <c r="Z276" s="11">
        <f t="shared" si="4"/>
        <v>0.23371378000000001</v>
      </c>
    </row>
    <row r="277" spans="1:26" x14ac:dyDescent="0.3">
      <c r="A277" t="s">
        <v>276</v>
      </c>
      <c r="B277" t="s">
        <v>1783</v>
      </c>
      <c r="C277" t="s">
        <v>1784</v>
      </c>
      <c r="D277" t="s">
        <v>1014</v>
      </c>
      <c r="E277" t="s">
        <v>1021</v>
      </c>
      <c r="F277" t="s">
        <v>1785</v>
      </c>
      <c r="G277" t="s">
        <v>1786</v>
      </c>
      <c r="H277" s="13">
        <v>17625138</v>
      </c>
      <c r="I277" s="14">
        <v>39556273.5</v>
      </c>
      <c r="J277" t="s">
        <v>1061</v>
      </c>
      <c r="K277" s="10">
        <v>2.2020400000000002</v>
      </c>
      <c r="M277" s="10">
        <v>1.8629215999999991</v>
      </c>
      <c r="N277" s="10">
        <v>1.8717584615384619</v>
      </c>
      <c r="O277" s="10">
        <v>1.925759807692309</v>
      </c>
      <c r="P277" s="10">
        <v>1.975385384615385</v>
      </c>
      <c r="Q277" s="10">
        <v>2.0972675000000018</v>
      </c>
      <c r="R277" s="10">
        <v>2.190353846153847</v>
      </c>
      <c r="S277" s="10">
        <v>2.207491886792452</v>
      </c>
      <c r="T277" s="10">
        <v>2.205293076923077</v>
      </c>
      <c r="U277" s="10">
        <v>2.2055861538461552</v>
      </c>
      <c r="V277" s="10">
        <v>2.2009709615384629</v>
      </c>
      <c r="W277" s="10">
        <v>2.2072753846153859</v>
      </c>
      <c r="X277" s="10">
        <v>2.2060971698113212</v>
      </c>
      <c r="Y277" s="10">
        <v>2.2028519512195119</v>
      </c>
      <c r="Z277" s="11">
        <f t="shared" si="4"/>
        <v>7.1875699999999999E-3</v>
      </c>
    </row>
    <row r="278" spans="1:26" x14ac:dyDescent="0.3">
      <c r="A278" t="s">
        <v>277</v>
      </c>
      <c r="B278" t="s">
        <v>1787</v>
      </c>
      <c r="C278" t="s">
        <v>1788</v>
      </c>
      <c r="D278" t="s">
        <v>1014</v>
      </c>
      <c r="E278" t="s">
        <v>1027</v>
      </c>
      <c r="F278" t="s">
        <v>1536</v>
      </c>
      <c r="G278" t="s">
        <v>1537</v>
      </c>
      <c r="H278" s="13">
        <v>1010726.06</v>
      </c>
      <c r="I278" s="14">
        <v>39446001.350000001</v>
      </c>
      <c r="J278" t="s">
        <v>1052</v>
      </c>
      <c r="K278" s="10">
        <v>39.862900000000003</v>
      </c>
      <c r="U278" s="10">
        <v>33.935629999999968</v>
      </c>
      <c r="V278" s="10">
        <v>35.566773846153822</v>
      </c>
      <c r="W278" s="10">
        <v>37.636751538461553</v>
      </c>
      <c r="X278" s="10">
        <v>38.766669433962299</v>
      </c>
      <c r="Y278" s="10">
        <v>39.908133414634143</v>
      </c>
      <c r="Z278" s="11" t="str">
        <f t="shared" si="4"/>
        <v/>
      </c>
    </row>
    <row r="279" spans="1:26" x14ac:dyDescent="0.3">
      <c r="A279" t="s">
        <v>278</v>
      </c>
      <c r="B279" t="s">
        <v>1789</v>
      </c>
      <c r="C279" t="s">
        <v>1790</v>
      </c>
      <c r="D279" t="s">
        <v>1014</v>
      </c>
      <c r="E279" t="s">
        <v>1026</v>
      </c>
      <c r="F279" t="s">
        <v>1706</v>
      </c>
      <c r="G279" t="s">
        <v>1791</v>
      </c>
      <c r="H279" s="13">
        <v>348230</v>
      </c>
      <c r="I279" s="14">
        <v>38584754.829999998</v>
      </c>
      <c r="J279" t="s">
        <v>1052</v>
      </c>
      <c r="K279" s="10">
        <v>113.99816</v>
      </c>
      <c r="V279" s="10">
        <v>101.93550038461539</v>
      </c>
      <c r="W279" s="10">
        <v>107.4271626923076</v>
      </c>
      <c r="X279" s="10">
        <v>110.7086900000001</v>
      </c>
      <c r="Y279" s="10">
        <v>113.9146004878049</v>
      </c>
      <c r="Z279" s="11" t="str">
        <f t="shared" si="4"/>
        <v/>
      </c>
    </row>
    <row r="280" spans="1:26" x14ac:dyDescent="0.3">
      <c r="A280" t="s">
        <v>279</v>
      </c>
      <c r="B280" t="s">
        <v>1792</v>
      </c>
      <c r="C280" t="s">
        <v>1793</v>
      </c>
      <c r="D280" t="s">
        <v>1015</v>
      </c>
      <c r="E280" t="s">
        <v>1020</v>
      </c>
      <c r="F280" t="s">
        <v>1485</v>
      </c>
      <c r="G280" t="s">
        <v>1794</v>
      </c>
      <c r="H280" s="13">
        <v>1186445.213</v>
      </c>
      <c r="I280" s="14">
        <v>37889104.32</v>
      </c>
      <c r="J280" t="s">
        <v>1052</v>
      </c>
      <c r="K280" s="10">
        <v>37.15513</v>
      </c>
      <c r="M280" s="10">
        <v>30.421423749999999</v>
      </c>
      <c r="N280" s="10">
        <v>31.804296346153851</v>
      </c>
      <c r="O280" s="10">
        <v>34.826709807692318</v>
      </c>
      <c r="P280" s="10">
        <v>33.53869865384614</v>
      </c>
      <c r="V280" s="10">
        <v>38.285757560975597</v>
      </c>
      <c r="W280" s="10">
        <v>38.602937692307698</v>
      </c>
      <c r="X280" s="10">
        <v>36.354474339622648</v>
      </c>
      <c r="Y280" s="10">
        <v>36.991365365853667</v>
      </c>
      <c r="Z280" s="11" t="str">
        <f t="shared" si="4"/>
        <v/>
      </c>
    </row>
    <row r="281" spans="1:26" x14ac:dyDescent="0.3">
      <c r="A281" t="s">
        <v>280</v>
      </c>
      <c r="B281" t="s">
        <v>1795</v>
      </c>
      <c r="C281" t="s">
        <v>1617</v>
      </c>
      <c r="D281" t="s">
        <v>1015</v>
      </c>
      <c r="E281" t="s">
        <v>1030</v>
      </c>
      <c r="F281" t="s">
        <v>1796</v>
      </c>
      <c r="G281" t="s">
        <v>1619</v>
      </c>
      <c r="H281" s="13">
        <v>16730470</v>
      </c>
      <c r="I281" s="14">
        <v>37709039.82</v>
      </c>
      <c r="J281" t="s">
        <v>1052</v>
      </c>
      <c r="K281" s="10">
        <v>1.9822599999999999</v>
      </c>
      <c r="W281" s="10">
        <v>2.4652136538461522</v>
      </c>
      <c r="X281" s="10">
        <v>2.0139016981132078</v>
      </c>
      <c r="Y281" s="10">
        <v>2.0423968292682928</v>
      </c>
      <c r="Z281" s="11" t="str">
        <f t="shared" si="4"/>
        <v/>
      </c>
    </row>
    <row r="282" spans="1:26" x14ac:dyDescent="0.3">
      <c r="A282" t="s">
        <v>281</v>
      </c>
      <c r="B282" t="s">
        <v>1797</v>
      </c>
      <c r="C282" t="s">
        <v>1798</v>
      </c>
      <c r="D282" t="s">
        <v>1014</v>
      </c>
      <c r="E282" t="s">
        <v>1027</v>
      </c>
      <c r="F282" t="s">
        <v>1270</v>
      </c>
      <c r="G282" t="s">
        <v>1799</v>
      </c>
      <c r="H282" s="13">
        <v>5477376.4119999995</v>
      </c>
      <c r="I282" s="14">
        <v>37608779.5</v>
      </c>
      <c r="J282" t="s">
        <v>1052</v>
      </c>
      <c r="K282" s="10">
        <v>6.8083099999999996</v>
      </c>
      <c r="M282" s="10">
        <v>6.9303873584905711</v>
      </c>
      <c r="N282" s="10">
        <v>6.9260490384615343</v>
      </c>
      <c r="O282" s="10">
        <v>6.9037476923076886</v>
      </c>
      <c r="P282" s="10">
        <v>6.8468725000000026</v>
      </c>
      <c r="Q282" s="10">
        <v>6.8459715384615416</v>
      </c>
      <c r="R282" s="10">
        <v>6.8518811538461524</v>
      </c>
      <c r="S282" s="10">
        <v>6.833461320754715</v>
      </c>
      <c r="T282" s="10">
        <v>6.8318469230769239</v>
      </c>
      <c r="U282" s="10">
        <v>6.8447515384615407</v>
      </c>
      <c r="V282" s="10">
        <v>6.8355817307692286</v>
      </c>
      <c r="W282" s="10">
        <v>6.8344574999999983</v>
      </c>
      <c r="X282" s="10">
        <v>6.8233796226415127</v>
      </c>
      <c r="Y282" s="10">
        <v>6.8087663414634179</v>
      </c>
      <c r="Z282" s="11">
        <f t="shared" si="4"/>
        <v>-4.1596699999999999E-3</v>
      </c>
    </row>
    <row r="283" spans="1:26" x14ac:dyDescent="0.3">
      <c r="A283" t="s">
        <v>282</v>
      </c>
      <c r="B283" t="s">
        <v>1800</v>
      </c>
      <c r="C283" t="s">
        <v>1801</v>
      </c>
      <c r="D283" t="s">
        <v>1015</v>
      </c>
      <c r="E283" t="s">
        <v>1019</v>
      </c>
      <c r="F283" t="s">
        <v>1123</v>
      </c>
      <c r="G283" t="s">
        <v>1323</v>
      </c>
      <c r="H283" s="13">
        <v>13973379.858999999</v>
      </c>
      <c r="I283" s="14">
        <v>36999577.549999997</v>
      </c>
      <c r="J283" t="s">
        <v>1061</v>
      </c>
      <c r="K283" s="10">
        <v>2.40265</v>
      </c>
      <c r="S283" s="10">
        <v>13.17699</v>
      </c>
      <c r="T283" s="10">
        <v>13.18054884615384</v>
      </c>
      <c r="U283" s="10">
        <v>8.0069555769230796</v>
      </c>
      <c r="V283" s="10">
        <v>4.3050092307692314</v>
      </c>
      <c r="W283" s="10">
        <v>2.403139423076925</v>
      </c>
      <c r="X283" s="10">
        <v>2.4039781132075482</v>
      </c>
      <c r="Y283" s="10">
        <v>2.4039875609756098</v>
      </c>
      <c r="Z283" s="11" t="str">
        <f t="shared" si="4"/>
        <v/>
      </c>
    </row>
    <row r="284" spans="1:26" x14ac:dyDescent="0.3">
      <c r="A284" t="s">
        <v>283</v>
      </c>
      <c r="B284" t="s">
        <v>1802</v>
      </c>
      <c r="C284" t="s">
        <v>1803</v>
      </c>
      <c r="D284" t="s">
        <v>1014</v>
      </c>
      <c r="E284" t="s">
        <v>1027</v>
      </c>
      <c r="F284" t="s">
        <v>1270</v>
      </c>
      <c r="G284" t="s">
        <v>1799</v>
      </c>
      <c r="H284" s="13">
        <v>5394551.3559999997</v>
      </c>
      <c r="I284" s="14">
        <v>36922259.789999999</v>
      </c>
      <c r="J284" t="s">
        <v>1052</v>
      </c>
      <c r="K284" s="10">
        <v>6.8058199999999998</v>
      </c>
      <c r="M284" s="10">
        <v>6.9410405660377403</v>
      </c>
      <c r="N284" s="10">
        <v>6.9185021153846167</v>
      </c>
      <c r="O284" s="10">
        <v>6.9012634615384609</v>
      </c>
      <c r="P284" s="10">
        <v>6.8605661538461504</v>
      </c>
      <c r="Q284" s="10">
        <v>6.8395484615384659</v>
      </c>
      <c r="R284" s="10">
        <v>6.8454748076923142</v>
      </c>
      <c r="S284" s="10">
        <v>6.8336398113207579</v>
      </c>
      <c r="T284" s="10">
        <v>6.8259251923076922</v>
      </c>
      <c r="U284" s="10">
        <v>6.8396823076923079</v>
      </c>
      <c r="V284" s="10">
        <v>6.8383651923076929</v>
      </c>
      <c r="W284" s="10">
        <v>6.8325707692307702</v>
      </c>
      <c r="X284" s="10">
        <v>6.8236320754716964</v>
      </c>
      <c r="Y284" s="10">
        <v>6.8074663414634129</v>
      </c>
      <c r="Z284" s="11">
        <f t="shared" si="4"/>
        <v>-3.19083E-3</v>
      </c>
    </row>
    <row r="285" spans="1:26" x14ac:dyDescent="0.3">
      <c r="A285" t="s">
        <v>284</v>
      </c>
      <c r="B285" t="s">
        <v>1804</v>
      </c>
      <c r="C285" t="s">
        <v>1805</v>
      </c>
      <c r="D285" t="s">
        <v>1014</v>
      </c>
      <c r="E285" t="s">
        <v>1033</v>
      </c>
      <c r="F285" t="s">
        <v>1706</v>
      </c>
      <c r="G285" t="s">
        <v>1732</v>
      </c>
      <c r="H285" s="13">
        <v>2463213</v>
      </c>
      <c r="I285" s="14">
        <v>36550627.82</v>
      </c>
      <c r="J285" t="s">
        <v>1052</v>
      </c>
      <c r="K285" s="10">
        <v>14.678430000000001</v>
      </c>
      <c r="M285" s="10">
        <v>7.7115598113207504</v>
      </c>
      <c r="N285" s="10">
        <v>8.6680328846153891</v>
      </c>
      <c r="O285" s="10">
        <v>9.4613953846153844</v>
      </c>
      <c r="P285" s="10">
        <v>10.40869250000001</v>
      </c>
      <c r="Q285" s="10">
        <v>11.269517692307691</v>
      </c>
      <c r="R285" s="10">
        <v>12.245445769230781</v>
      </c>
      <c r="S285" s="10">
        <v>12.926046037735841</v>
      </c>
      <c r="T285" s="10">
        <v>13.33126653846155</v>
      </c>
      <c r="U285" s="10">
        <v>13.72932807692308</v>
      </c>
      <c r="V285" s="10">
        <v>14.261050961538469</v>
      </c>
      <c r="W285" s="10">
        <v>14.68785211538462</v>
      </c>
      <c r="X285" s="10">
        <v>14.702242075471689</v>
      </c>
      <c r="Y285" s="10">
        <v>14.68453731707317</v>
      </c>
      <c r="Z285" s="11">
        <f t="shared" si="4"/>
        <v>0.20062938999999999</v>
      </c>
    </row>
    <row r="286" spans="1:26" x14ac:dyDescent="0.3">
      <c r="A286" t="s">
        <v>285</v>
      </c>
      <c r="B286" t="s">
        <v>1806</v>
      </c>
      <c r="C286" t="s">
        <v>1807</v>
      </c>
      <c r="D286" t="s">
        <v>1014</v>
      </c>
      <c r="E286" t="s">
        <v>1019</v>
      </c>
      <c r="F286" t="s">
        <v>1059</v>
      </c>
      <c r="G286" t="s">
        <v>1808</v>
      </c>
      <c r="H286" s="13">
        <v>5396671.2680000002</v>
      </c>
      <c r="I286" s="14">
        <v>36487604.369999997</v>
      </c>
      <c r="J286" t="s">
        <v>1061</v>
      </c>
      <c r="K286" s="10">
        <v>6.1522699999999997</v>
      </c>
      <c r="M286" s="10">
        <v>20.57307754716981</v>
      </c>
      <c r="N286" s="10">
        <v>24.16942173076923</v>
      </c>
      <c r="O286" s="10">
        <v>24.002584230769219</v>
      </c>
      <c r="P286" s="10">
        <v>24.154666346153839</v>
      </c>
      <c r="Q286" s="10">
        <v>25.438878846153852</v>
      </c>
      <c r="R286" s="10">
        <v>27.139135769230791</v>
      </c>
      <c r="S286" s="10">
        <v>27.21705867924527</v>
      </c>
      <c r="T286" s="10">
        <v>27.211458461538442</v>
      </c>
      <c r="U286" s="10">
        <v>27.228231538461522</v>
      </c>
      <c r="V286" s="10">
        <v>28.021698076923101</v>
      </c>
      <c r="W286" s="10">
        <v>6.1662411538461503</v>
      </c>
      <c r="X286" s="10">
        <v>6.1620256603773598</v>
      </c>
      <c r="Y286" s="10">
        <v>6.1551136585365862</v>
      </c>
      <c r="Z286" s="11">
        <f t="shared" si="4"/>
        <v>-0.77294686999999995</v>
      </c>
    </row>
    <row r="287" spans="1:26" x14ac:dyDescent="0.3">
      <c r="A287" t="s">
        <v>286</v>
      </c>
      <c r="B287" t="s">
        <v>1809</v>
      </c>
      <c r="C287" t="s">
        <v>1810</v>
      </c>
      <c r="D287" t="s">
        <v>1014</v>
      </c>
      <c r="E287" t="s">
        <v>1027</v>
      </c>
      <c r="F287" t="s">
        <v>1811</v>
      </c>
      <c r="G287" t="s">
        <v>1812</v>
      </c>
      <c r="H287" s="13">
        <v>2974796</v>
      </c>
      <c r="I287" s="14">
        <v>36167526.310000002</v>
      </c>
      <c r="J287" t="s">
        <v>1052</v>
      </c>
      <c r="K287" s="10">
        <v>11.90025</v>
      </c>
      <c r="R287" s="10">
        <v>10.557074999999999</v>
      </c>
      <c r="S287" s="10">
        <v>11.217706792452841</v>
      </c>
      <c r="T287" s="10">
        <v>11.93046038461538</v>
      </c>
      <c r="U287" s="10">
        <v>11.95994999999999</v>
      </c>
      <c r="V287" s="10">
        <v>11.940949230769229</v>
      </c>
      <c r="W287" s="10">
        <v>11.924043076923081</v>
      </c>
      <c r="X287" s="10">
        <v>11.908381132075471</v>
      </c>
      <c r="Y287" s="10">
        <v>11.892233170731711</v>
      </c>
      <c r="Z287" s="11">
        <f t="shared" si="4"/>
        <v>0.12800005</v>
      </c>
    </row>
    <row r="288" spans="1:26" x14ac:dyDescent="0.3">
      <c r="A288" t="s">
        <v>287</v>
      </c>
      <c r="B288" t="s">
        <v>1813</v>
      </c>
      <c r="C288" t="s">
        <v>1814</v>
      </c>
      <c r="D288" t="s">
        <v>1014</v>
      </c>
      <c r="E288" t="s">
        <v>1027</v>
      </c>
      <c r="F288" t="s">
        <v>1815</v>
      </c>
      <c r="G288" t="s">
        <v>1816</v>
      </c>
      <c r="H288" s="13">
        <v>1451637.5</v>
      </c>
      <c r="I288" s="14">
        <v>36090276.789999999</v>
      </c>
      <c r="J288" t="s">
        <v>1052</v>
      </c>
      <c r="K288" s="10">
        <v>25.182639999999999</v>
      </c>
      <c r="M288" s="10">
        <v>11.189152641509439</v>
      </c>
      <c r="N288" s="10">
        <v>13.71073076923077</v>
      </c>
      <c r="O288" s="10">
        <v>16.622673461538479</v>
      </c>
      <c r="P288" s="10">
        <v>19.1189276923077</v>
      </c>
      <c r="Q288" s="10">
        <v>21.301784038461541</v>
      </c>
      <c r="R288" s="10">
        <v>22.862874999999988</v>
      </c>
      <c r="S288" s="10">
        <v>24.170509622641529</v>
      </c>
      <c r="T288" s="10">
        <v>25.198680000000021</v>
      </c>
      <c r="U288" s="10">
        <v>25.285191153846139</v>
      </c>
      <c r="V288" s="10">
        <v>25.607054999999999</v>
      </c>
      <c r="W288" s="10">
        <v>25.363045192307691</v>
      </c>
      <c r="X288" s="10">
        <v>25.300687169811319</v>
      </c>
      <c r="Y288" s="10">
        <v>25.24972219512194</v>
      </c>
      <c r="Z288" s="11">
        <f t="shared" si="4"/>
        <v>0.10662754000000001</v>
      </c>
    </row>
    <row r="289" spans="1:26" x14ac:dyDescent="0.3">
      <c r="A289" t="s">
        <v>288</v>
      </c>
      <c r="B289" t="s">
        <v>1817</v>
      </c>
      <c r="C289" t="s">
        <v>1818</v>
      </c>
      <c r="D289" t="s">
        <v>1015</v>
      </c>
      <c r="E289" t="s">
        <v>1032</v>
      </c>
      <c r="F289" t="s">
        <v>1363</v>
      </c>
      <c r="G289" t="s">
        <v>1364</v>
      </c>
      <c r="H289" s="13">
        <v>1490825.9</v>
      </c>
      <c r="I289" s="14">
        <v>35996593.289999999</v>
      </c>
      <c r="J289" t="s">
        <v>1163</v>
      </c>
      <c r="K289" s="10">
        <v>21.790669999999999</v>
      </c>
      <c r="U289" s="10">
        <v>21.435972</v>
      </c>
      <c r="V289" s="10">
        <v>21.50925788461538</v>
      </c>
      <c r="W289" s="10">
        <v>21.138581538461541</v>
      </c>
      <c r="X289" s="10">
        <v>21.55389094339623</v>
      </c>
      <c r="Y289" s="10">
        <v>21.745326585365859</v>
      </c>
      <c r="Z289" s="11" t="str">
        <f t="shared" si="4"/>
        <v/>
      </c>
    </row>
    <row r="290" spans="1:26" x14ac:dyDescent="0.3">
      <c r="A290" t="s">
        <v>289</v>
      </c>
      <c r="B290" t="s">
        <v>1819</v>
      </c>
      <c r="C290" t="s">
        <v>1820</v>
      </c>
      <c r="D290" t="s">
        <v>1014</v>
      </c>
      <c r="E290" t="s">
        <v>1027</v>
      </c>
      <c r="F290" t="s">
        <v>1755</v>
      </c>
      <c r="G290" t="s">
        <v>1821</v>
      </c>
      <c r="H290" s="13">
        <v>848243</v>
      </c>
      <c r="I290" s="14">
        <v>35948134.539999999</v>
      </c>
      <c r="J290" t="s">
        <v>1052</v>
      </c>
      <c r="K290" s="10">
        <v>44.166719999999998</v>
      </c>
      <c r="N290" s="10">
        <v>21.891884038461541</v>
      </c>
      <c r="O290" s="10">
        <v>24.574682115384611</v>
      </c>
      <c r="P290" s="10">
        <v>26.709429423076902</v>
      </c>
      <c r="Q290" s="10">
        <v>29.31505499999999</v>
      </c>
      <c r="R290" s="10">
        <v>30.995822115384609</v>
      </c>
      <c r="S290" s="10">
        <v>32.31078566037737</v>
      </c>
      <c r="T290" s="10">
        <v>33.922681346153873</v>
      </c>
      <c r="U290" s="10">
        <v>35.836455384615412</v>
      </c>
      <c r="V290" s="10">
        <v>38.314161346153817</v>
      </c>
      <c r="W290" s="10">
        <v>40.53927019230769</v>
      </c>
      <c r="X290" s="10">
        <v>42.941886415094316</v>
      </c>
      <c r="Y290" s="10">
        <v>44.188827804878038</v>
      </c>
      <c r="Z290" s="11">
        <f t="shared" si="4"/>
        <v>0.38540885000000003</v>
      </c>
    </row>
    <row r="291" spans="1:26" x14ac:dyDescent="0.3">
      <c r="A291" t="s">
        <v>290</v>
      </c>
      <c r="B291" t="s">
        <v>1822</v>
      </c>
      <c r="C291" t="s">
        <v>1823</v>
      </c>
      <c r="D291" t="s">
        <v>1015</v>
      </c>
      <c r="E291" t="s">
        <v>1029</v>
      </c>
      <c r="F291" t="s">
        <v>1745</v>
      </c>
      <c r="G291" t="s">
        <v>1824</v>
      </c>
      <c r="H291" s="13">
        <v>572482329.88800001</v>
      </c>
      <c r="I291" s="14">
        <v>35843238.969999999</v>
      </c>
      <c r="J291" t="s">
        <v>1061</v>
      </c>
      <c r="K291" s="10">
        <v>2.0100000000000001E-3</v>
      </c>
      <c r="X291" s="10">
        <v>2.1362264150943389E-3</v>
      </c>
      <c r="Y291" s="10">
        <v>1.9852173913043479E-3</v>
      </c>
      <c r="Z291" s="11" t="str">
        <f t="shared" si="4"/>
        <v/>
      </c>
    </row>
    <row r="292" spans="1:26" x14ac:dyDescent="0.3">
      <c r="A292" t="s">
        <v>291</v>
      </c>
      <c r="B292" t="s">
        <v>1825</v>
      </c>
      <c r="C292" t="s">
        <v>1448</v>
      </c>
      <c r="D292" t="s">
        <v>1014</v>
      </c>
      <c r="E292" t="s">
        <v>1027</v>
      </c>
      <c r="F292" t="s">
        <v>1449</v>
      </c>
      <c r="G292" t="s">
        <v>1450</v>
      </c>
      <c r="H292" s="13">
        <v>1902189</v>
      </c>
      <c r="I292" s="14">
        <v>35713497.149999999</v>
      </c>
      <c r="J292" t="s">
        <v>1052</v>
      </c>
      <c r="K292" s="10">
        <v>19.897690000000001</v>
      </c>
      <c r="V292" s="10">
        <v>16.937382222222219</v>
      </c>
      <c r="W292" s="10">
        <v>17.732809807692309</v>
      </c>
      <c r="X292" s="10">
        <v>18.795910377358499</v>
      </c>
      <c r="Y292" s="10">
        <v>19.887778048780479</v>
      </c>
      <c r="Z292" s="11" t="str">
        <f t="shared" si="4"/>
        <v/>
      </c>
    </row>
    <row r="293" spans="1:26" x14ac:dyDescent="0.3">
      <c r="A293" t="s">
        <v>292</v>
      </c>
      <c r="B293" t="s">
        <v>1826</v>
      </c>
      <c r="C293" t="s">
        <v>1827</v>
      </c>
      <c r="D293" t="s">
        <v>1015</v>
      </c>
      <c r="E293" t="s">
        <v>1032</v>
      </c>
      <c r="F293" t="s">
        <v>1485</v>
      </c>
      <c r="G293" t="s">
        <v>1486</v>
      </c>
      <c r="H293" s="13">
        <v>530099.071</v>
      </c>
      <c r="I293" s="14">
        <v>35506010.619999997</v>
      </c>
      <c r="J293" t="s">
        <v>1052</v>
      </c>
      <c r="K293" s="10">
        <v>141.88176999999999</v>
      </c>
      <c r="P293" s="10">
        <v>142.7212195454546</v>
      </c>
      <c r="Q293" s="10">
        <v>143.1603873076923</v>
      </c>
      <c r="R293" s="10">
        <v>143.7392480769231</v>
      </c>
      <c r="S293" s="10">
        <v>143.48770830188681</v>
      </c>
      <c r="T293" s="10">
        <v>143.68829288461541</v>
      </c>
      <c r="U293" s="10">
        <v>141.49803634615381</v>
      </c>
      <c r="V293" s="10">
        <v>141.72742269230781</v>
      </c>
      <c r="W293" s="10">
        <v>141.88374730769229</v>
      </c>
      <c r="X293" s="10">
        <v>142.1800679245282</v>
      </c>
      <c r="Y293" s="10">
        <v>142.59771585365851</v>
      </c>
      <c r="Z293" s="11">
        <f t="shared" si="4"/>
        <v>-1.0847280000000001E-2</v>
      </c>
    </row>
    <row r="294" spans="1:26" x14ac:dyDescent="0.3">
      <c r="A294" t="s">
        <v>293</v>
      </c>
      <c r="B294" t="s">
        <v>1828</v>
      </c>
      <c r="C294" t="s">
        <v>1829</v>
      </c>
      <c r="D294" t="s">
        <v>1014</v>
      </c>
      <c r="E294" t="s">
        <v>1027</v>
      </c>
      <c r="F294" t="s">
        <v>1811</v>
      </c>
      <c r="G294" t="s">
        <v>1830</v>
      </c>
      <c r="H294" s="13">
        <v>12908970</v>
      </c>
      <c r="I294" s="14">
        <v>35242303.030000001</v>
      </c>
      <c r="J294" t="s">
        <v>1061</v>
      </c>
      <c r="K294" s="10">
        <v>2.7008999999999999</v>
      </c>
      <c r="R294" s="10">
        <v>2.2562446153846141</v>
      </c>
      <c r="S294" s="10">
        <v>2.4719067924528288</v>
      </c>
      <c r="T294" s="10">
        <v>2.6357961538461541</v>
      </c>
      <c r="U294" s="10">
        <v>2.7175900000000008</v>
      </c>
      <c r="V294" s="10">
        <v>2.7125359615384621</v>
      </c>
      <c r="W294" s="10">
        <v>2.708306153846153</v>
      </c>
      <c r="X294" s="10">
        <v>2.7066522641509438</v>
      </c>
      <c r="Y294" s="10">
        <v>2.701683414634148</v>
      </c>
      <c r="Z294" s="11">
        <f t="shared" si="4"/>
        <v>0.19962714000000001</v>
      </c>
    </row>
    <row r="295" spans="1:26" x14ac:dyDescent="0.3">
      <c r="A295" t="s">
        <v>294</v>
      </c>
      <c r="B295" t="s">
        <v>1831</v>
      </c>
      <c r="C295" t="s">
        <v>1832</v>
      </c>
      <c r="D295" t="s">
        <v>1014</v>
      </c>
      <c r="E295" t="s">
        <v>1027</v>
      </c>
      <c r="F295" t="s">
        <v>1382</v>
      </c>
      <c r="G295" t="s">
        <v>1833</v>
      </c>
      <c r="H295" s="13">
        <v>72134</v>
      </c>
      <c r="I295" s="14">
        <v>35027701.219999999</v>
      </c>
      <c r="J295" t="s">
        <v>1061</v>
      </c>
      <c r="K295" s="10">
        <v>541.11563000000001</v>
      </c>
      <c r="M295" s="10">
        <v>372.37904499999991</v>
      </c>
      <c r="N295" s="10">
        <v>401.41450442307718</v>
      </c>
      <c r="O295" s="10">
        <v>429.32732057692277</v>
      </c>
      <c r="P295" s="10">
        <v>467.78660653846129</v>
      </c>
      <c r="Q295" s="10">
        <v>470.52422865384631</v>
      </c>
      <c r="R295" s="10">
        <v>470.55341769230739</v>
      </c>
      <c r="S295" s="10">
        <v>472.17005943396248</v>
      </c>
      <c r="T295" s="10">
        <v>470.75827846153868</v>
      </c>
      <c r="U295" s="10">
        <v>472.97923903846163</v>
      </c>
      <c r="V295" s="10">
        <v>470.82586153846171</v>
      </c>
      <c r="W295" s="10">
        <v>471.20697596153849</v>
      </c>
      <c r="X295" s="10">
        <v>494.94880358490548</v>
      </c>
      <c r="Y295" s="10">
        <v>541.2356975609755</v>
      </c>
      <c r="Z295" s="11">
        <f t="shared" si="4"/>
        <v>5.1844029999999999E-2</v>
      </c>
    </row>
    <row r="296" spans="1:26" x14ac:dyDescent="0.3">
      <c r="A296" t="s">
        <v>295</v>
      </c>
      <c r="B296" t="s">
        <v>1834</v>
      </c>
      <c r="C296" t="s">
        <v>1835</v>
      </c>
      <c r="D296" t="s">
        <v>1014</v>
      </c>
      <c r="E296" t="s">
        <v>1022</v>
      </c>
      <c r="F296" t="s">
        <v>1055</v>
      </c>
      <c r="G296" t="s">
        <v>1264</v>
      </c>
      <c r="H296" s="13">
        <v>8544347.2699999996</v>
      </c>
      <c r="I296" s="14">
        <v>34986436.189999998</v>
      </c>
      <c r="J296" t="s">
        <v>1052</v>
      </c>
      <c r="K296" s="10">
        <v>4.2072099999999999</v>
      </c>
      <c r="W296" s="10">
        <v>3.981580000000001</v>
      </c>
      <c r="X296" s="10">
        <v>4.1094015094339582</v>
      </c>
      <c r="Y296" s="10">
        <v>4.2101712195121959</v>
      </c>
      <c r="Z296" s="11" t="str">
        <f t="shared" si="4"/>
        <v/>
      </c>
    </row>
    <row r="297" spans="1:26" x14ac:dyDescent="0.3">
      <c r="A297" t="s">
        <v>296</v>
      </c>
      <c r="B297" t="s">
        <v>1836</v>
      </c>
      <c r="C297" t="s">
        <v>1392</v>
      </c>
      <c r="D297" t="s">
        <v>1015</v>
      </c>
      <c r="E297" t="s">
        <v>1032</v>
      </c>
      <c r="F297" t="s">
        <v>1837</v>
      </c>
      <c r="G297" t="s">
        <v>1611</v>
      </c>
      <c r="H297" s="13">
        <v>11599817.804</v>
      </c>
      <c r="I297" s="14">
        <v>34930260.5</v>
      </c>
      <c r="J297" t="s">
        <v>1163</v>
      </c>
      <c r="K297" s="10">
        <v>2.1200199999999998</v>
      </c>
      <c r="S297" s="10">
        <v>4.9958625806451629</v>
      </c>
      <c r="T297" s="10">
        <v>4.3006136538461543</v>
      </c>
      <c r="U297" s="10">
        <v>3.7577040384615379</v>
      </c>
      <c r="V297" s="10">
        <v>3.111507884615385</v>
      </c>
      <c r="W297" s="10">
        <v>2.7448038461538471</v>
      </c>
      <c r="X297" s="10">
        <v>2.2710094339622628</v>
      </c>
      <c r="Y297" s="10">
        <v>2.1431553658536591</v>
      </c>
      <c r="Z297" s="11" t="str">
        <f t="shared" si="4"/>
        <v/>
      </c>
    </row>
    <row r="298" spans="1:26" x14ac:dyDescent="0.3">
      <c r="A298" t="s">
        <v>297</v>
      </c>
      <c r="B298" t="s">
        <v>1838</v>
      </c>
      <c r="C298" t="s">
        <v>1839</v>
      </c>
      <c r="D298" t="s">
        <v>1014</v>
      </c>
      <c r="E298" t="s">
        <v>1033</v>
      </c>
      <c r="F298" t="s">
        <v>1106</v>
      </c>
      <c r="G298" t="s">
        <v>1840</v>
      </c>
      <c r="H298" s="13">
        <v>1259201.5</v>
      </c>
      <c r="I298" s="14">
        <v>34818217.670000002</v>
      </c>
      <c r="J298" t="s">
        <v>1052</v>
      </c>
      <c r="K298" s="10">
        <v>28.330020000000001</v>
      </c>
      <c r="S298" s="10">
        <v>21.555805400000001</v>
      </c>
      <c r="T298" s="10">
        <v>22.600435000000001</v>
      </c>
      <c r="U298" s="10">
        <v>23.267590576923059</v>
      </c>
      <c r="V298" s="10">
        <v>24.66676423076925</v>
      </c>
      <c r="W298" s="10">
        <v>26.186569038461531</v>
      </c>
      <c r="X298" s="10">
        <v>27.494377169811312</v>
      </c>
      <c r="Y298" s="10">
        <v>28.327155121951229</v>
      </c>
      <c r="Z298" s="11" t="str">
        <f t="shared" si="4"/>
        <v/>
      </c>
    </row>
    <row r="299" spans="1:26" x14ac:dyDescent="0.3">
      <c r="A299" t="s">
        <v>298</v>
      </c>
      <c r="B299" t="s">
        <v>1841</v>
      </c>
      <c r="C299" t="s">
        <v>1842</v>
      </c>
      <c r="D299" t="s">
        <v>1014</v>
      </c>
      <c r="E299" t="s">
        <v>1021</v>
      </c>
      <c r="F299" t="s">
        <v>1843</v>
      </c>
      <c r="G299" t="s">
        <v>1844</v>
      </c>
      <c r="H299" s="13">
        <v>133906</v>
      </c>
      <c r="I299" s="14">
        <v>34762723.469999999</v>
      </c>
      <c r="J299" t="s">
        <v>1061</v>
      </c>
      <c r="K299" s="10">
        <v>263.56664000000001</v>
      </c>
      <c r="W299" s="10">
        <v>246.87729359999989</v>
      </c>
      <c r="X299" s="10">
        <v>255.97936226415089</v>
      </c>
      <c r="Y299" s="10">
        <v>263.50420707317068</v>
      </c>
      <c r="Z299" s="11" t="str">
        <f t="shared" si="4"/>
        <v/>
      </c>
    </row>
    <row r="300" spans="1:26" x14ac:dyDescent="0.3">
      <c r="A300" t="s">
        <v>299</v>
      </c>
      <c r="B300" t="s">
        <v>1845</v>
      </c>
      <c r="C300" t="s">
        <v>1846</v>
      </c>
      <c r="D300" t="s">
        <v>1014</v>
      </c>
      <c r="E300" t="s">
        <v>1019</v>
      </c>
      <c r="F300" t="s">
        <v>1064</v>
      </c>
      <c r="G300" t="s">
        <v>1847</v>
      </c>
      <c r="H300" s="13">
        <v>398847</v>
      </c>
      <c r="I300" s="14">
        <v>34485965.700000003</v>
      </c>
      <c r="J300" t="s">
        <v>1061</v>
      </c>
      <c r="K300" s="10">
        <v>87.125960000000006</v>
      </c>
      <c r="O300" s="10">
        <v>73.308775384615373</v>
      </c>
      <c r="P300" s="10">
        <v>73.722276923076933</v>
      </c>
      <c r="Q300" s="10">
        <v>76.731771538461587</v>
      </c>
      <c r="R300" s="10">
        <v>79.767324615384567</v>
      </c>
      <c r="S300" s="10">
        <v>82.709545660377373</v>
      </c>
      <c r="T300" s="10">
        <v>86.176305769230794</v>
      </c>
      <c r="U300" s="10">
        <v>86.31681923076917</v>
      </c>
      <c r="V300" s="10">
        <v>86.322407692307706</v>
      </c>
      <c r="W300" s="10">
        <v>86.543298653846122</v>
      </c>
      <c r="X300" s="10">
        <v>86.894873018867912</v>
      </c>
      <c r="Y300" s="10">
        <v>87.142962439024373</v>
      </c>
      <c r="Z300" s="11">
        <f t="shared" si="4"/>
        <v>8.9354240000000001E-2</v>
      </c>
    </row>
    <row r="301" spans="1:26" x14ac:dyDescent="0.3">
      <c r="A301" t="s">
        <v>300</v>
      </c>
      <c r="B301" t="s">
        <v>1848</v>
      </c>
      <c r="C301" t="s">
        <v>1849</v>
      </c>
      <c r="D301" t="s">
        <v>1014</v>
      </c>
      <c r="E301" t="s">
        <v>1024</v>
      </c>
      <c r="F301" t="s">
        <v>1850</v>
      </c>
      <c r="G301" t="s">
        <v>1851</v>
      </c>
      <c r="H301" s="13">
        <v>3552526</v>
      </c>
      <c r="I301" s="14">
        <v>34389932.939999998</v>
      </c>
      <c r="J301" t="s">
        <v>1052</v>
      </c>
      <c r="K301" s="10">
        <v>10.08501</v>
      </c>
      <c r="V301" s="10">
        <v>8.4620557692307621</v>
      </c>
      <c r="W301" s="10">
        <v>8.9808013461538501</v>
      </c>
      <c r="X301" s="10">
        <v>9.5276413207547197</v>
      </c>
      <c r="Y301" s="10">
        <v>9.9744012195122025</v>
      </c>
      <c r="Z301" s="11" t="str">
        <f t="shared" si="4"/>
        <v/>
      </c>
    </row>
    <row r="302" spans="1:26" x14ac:dyDescent="0.3">
      <c r="A302" t="s">
        <v>301</v>
      </c>
      <c r="B302" t="s">
        <v>1852</v>
      </c>
      <c r="C302" t="s">
        <v>1105</v>
      </c>
      <c r="D302" t="s">
        <v>1014</v>
      </c>
      <c r="E302" t="s">
        <v>1019</v>
      </c>
      <c r="F302" t="s">
        <v>1106</v>
      </c>
      <c r="G302" t="s">
        <v>1107</v>
      </c>
      <c r="H302" s="13">
        <v>1767736</v>
      </c>
      <c r="I302" s="14">
        <v>33985757.799999997</v>
      </c>
      <c r="J302" t="s">
        <v>1052</v>
      </c>
      <c r="K302" s="10">
        <v>12.077030000000001</v>
      </c>
      <c r="W302" s="10">
        <v>18.632255000000001</v>
      </c>
      <c r="X302" s="10">
        <v>19.163116603773599</v>
      </c>
      <c r="Y302" s="10">
        <v>12.251928780487811</v>
      </c>
      <c r="Z302" s="11" t="str">
        <f t="shared" si="4"/>
        <v/>
      </c>
    </row>
    <row r="303" spans="1:26" x14ac:dyDescent="0.3">
      <c r="A303" t="s">
        <v>302</v>
      </c>
      <c r="B303" t="s">
        <v>1853</v>
      </c>
      <c r="C303" t="s">
        <v>1854</v>
      </c>
      <c r="D303" t="s">
        <v>1014</v>
      </c>
      <c r="E303" t="s">
        <v>1030</v>
      </c>
      <c r="F303" t="s">
        <v>1110</v>
      </c>
      <c r="G303" t="s">
        <v>1111</v>
      </c>
      <c r="H303" s="13">
        <v>3821749.5</v>
      </c>
      <c r="I303" s="14">
        <v>33741118.770000003</v>
      </c>
      <c r="J303" t="s">
        <v>1052</v>
      </c>
      <c r="K303" s="10">
        <v>8.5844199999999997</v>
      </c>
      <c r="M303" s="10">
        <v>6.8383198113207584</v>
      </c>
      <c r="N303" s="10">
        <v>6.8014098076923037</v>
      </c>
      <c r="O303" s="10">
        <v>7.1235090384615383</v>
      </c>
      <c r="P303" s="10">
        <v>7.4681926923076913</v>
      </c>
      <c r="Q303" s="10">
        <v>7.7992273076923038</v>
      </c>
      <c r="R303" s="10">
        <v>8.1867801923076868</v>
      </c>
      <c r="S303" s="10">
        <v>8.6119520754717023</v>
      </c>
      <c r="T303" s="10">
        <v>8.6073765384615299</v>
      </c>
      <c r="U303" s="10">
        <v>8.6010663461538392</v>
      </c>
      <c r="V303" s="10">
        <v>8.6141113461538552</v>
      </c>
      <c r="W303" s="10">
        <v>8.6089388461538459</v>
      </c>
      <c r="X303" s="10">
        <v>8.5918100000000024</v>
      </c>
      <c r="Y303" s="10">
        <v>8.5858158536585378</v>
      </c>
      <c r="Z303" s="11">
        <f t="shared" si="4"/>
        <v>4.9473639999999999E-2</v>
      </c>
    </row>
    <row r="304" spans="1:26" x14ac:dyDescent="0.3">
      <c r="A304" t="s">
        <v>303</v>
      </c>
      <c r="B304" t="s">
        <v>1855</v>
      </c>
      <c r="C304" t="s">
        <v>1856</v>
      </c>
      <c r="D304" t="s">
        <v>1014</v>
      </c>
      <c r="E304" t="s">
        <v>1027</v>
      </c>
      <c r="F304" t="s">
        <v>1857</v>
      </c>
      <c r="G304" t="s">
        <v>1858</v>
      </c>
      <c r="H304" s="13">
        <v>2223558</v>
      </c>
      <c r="I304" s="14">
        <v>33441375.780000001</v>
      </c>
      <c r="J304" t="s">
        <v>1052</v>
      </c>
      <c r="K304" s="10">
        <v>15.401910000000001</v>
      </c>
      <c r="S304" s="10">
        <v>12.11503471698113</v>
      </c>
      <c r="T304" s="10">
        <v>12.68933038461538</v>
      </c>
      <c r="U304" s="10">
        <v>13.142060000000001</v>
      </c>
      <c r="V304" s="10">
        <v>13.86527403846153</v>
      </c>
      <c r="W304" s="10">
        <v>14.54796211538461</v>
      </c>
      <c r="X304" s="10">
        <v>14.987664716981129</v>
      </c>
      <c r="Y304" s="10">
        <v>15.40182878048781</v>
      </c>
      <c r="Z304" s="11" t="str">
        <f t="shared" si="4"/>
        <v/>
      </c>
    </row>
    <row r="305" spans="1:26" x14ac:dyDescent="0.3">
      <c r="A305" t="s">
        <v>304</v>
      </c>
      <c r="B305" t="s">
        <v>1859</v>
      </c>
      <c r="C305" t="s">
        <v>1827</v>
      </c>
      <c r="D305" t="s">
        <v>1015</v>
      </c>
      <c r="E305" t="s">
        <v>1032</v>
      </c>
      <c r="F305" t="s">
        <v>1382</v>
      </c>
      <c r="G305" t="s">
        <v>1486</v>
      </c>
      <c r="H305" s="13">
        <v>80634.13</v>
      </c>
      <c r="I305" s="14">
        <v>33385945.460000001</v>
      </c>
      <c r="J305" t="s">
        <v>1052</v>
      </c>
      <c r="K305" s="10">
        <v>129.05328</v>
      </c>
      <c r="S305" s="10">
        <v>143.3736788679245</v>
      </c>
      <c r="T305" s="10">
        <v>139.51015673076921</v>
      </c>
      <c r="U305" s="10">
        <v>136.3831573076923</v>
      </c>
      <c r="V305" s="10">
        <v>132.19554423076929</v>
      </c>
      <c r="W305" s="10">
        <v>132.78910076923071</v>
      </c>
      <c r="X305" s="10">
        <v>131.41669547169809</v>
      </c>
      <c r="Y305" s="10">
        <v>129.3964180487805</v>
      </c>
      <c r="Z305" s="11" t="str">
        <f t="shared" si="4"/>
        <v/>
      </c>
    </row>
    <row r="306" spans="1:26" x14ac:dyDescent="0.3">
      <c r="A306" t="s">
        <v>305</v>
      </c>
      <c r="B306" t="s">
        <v>1860</v>
      </c>
      <c r="C306" t="s">
        <v>1861</v>
      </c>
      <c r="D306" t="s">
        <v>1014</v>
      </c>
      <c r="E306" t="s">
        <v>1027</v>
      </c>
      <c r="F306" t="s">
        <v>1862</v>
      </c>
      <c r="G306" t="s">
        <v>1863</v>
      </c>
      <c r="H306" s="13">
        <v>12339410.6</v>
      </c>
      <c r="I306" s="14">
        <v>33123077.989999998</v>
      </c>
      <c r="J306" t="s">
        <v>1061</v>
      </c>
      <c r="K306" s="10">
        <v>2.7505500000000001</v>
      </c>
      <c r="V306" s="10">
        <v>2.2195560714285709</v>
      </c>
      <c r="W306" s="10">
        <v>2.4031996153846169</v>
      </c>
      <c r="X306" s="10">
        <v>2.6667547169811341</v>
      </c>
      <c r="Y306" s="10">
        <v>2.7518434146341471</v>
      </c>
      <c r="Z306" s="11" t="str">
        <f t="shared" si="4"/>
        <v/>
      </c>
    </row>
    <row r="307" spans="1:26" x14ac:dyDescent="0.3">
      <c r="A307" t="s">
        <v>306</v>
      </c>
      <c r="B307" t="s">
        <v>1864</v>
      </c>
      <c r="C307" t="s">
        <v>1865</v>
      </c>
      <c r="D307" t="s">
        <v>1014</v>
      </c>
      <c r="E307" t="s">
        <v>1032</v>
      </c>
      <c r="F307" t="s">
        <v>1382</v>
      </c>
      <c r="G307" t="s">
        <v>1775</v>
      </c>
      <c r="H307" s="13">
        <v>1600196.47</v>
      </c>
      <c r="I307" s="14">
        <v>32428210.899999999</v>
      </c>
      <c r="J307" t="s">
        <v>1163</v>
      </c>
      <c r="K307" s="10">
        <v>20.56589</v>
      </c>
      <c r="Q307" s="10">
        <v>15.25490000000001</v>
      </c>
      <c r="R307" s="10">
        <v>16.163867307692289</v>
      </c>
      <c r="S307" s="10">
        <v>17.181134905660379</v>
      </c>
      <c r="T307" s="10">
        <v>18.038056346153869</v>
      </c>
      <c r="U307" s="10">
        <v>18.07396153846155</v>
      </c>
      <c r="V307" s="10">
        <v>18.959257500000021</v>
      </c>
      <c r="W307" s="10">
        <v>19.381146346153841</v>
      </c>
      <c r="X307" s="10">
        <v>19.79950943396226</v>
      </c>
      <c r="Y307" s="10">
        <v>20.569498048780481</v>
      </c>
      <c r="Z307" s="11">
        <f t="shared" si="4"/>
        <v>0.22492403</v>
      </c>
    </row>
    <row r="308" spans="1:26" x14ac:dyDescent="0.3">
      <c r="A308" t="s">
        <v>307</v>
      </c>
      <c r="B308" t="s">
        <v>1866</v>
      </c>
      <c r="C308" t="s">
        <v>1867</v>
      </c>
      <c r="D308" t="s">
        <v>1014</v>
      </c>
      <c r="E308" t="s">
        <v>1019</v>
      </c>
      <c r="F308" t="s">
        <v>1064</v>
      </c>
      <c r="G308" t="s">
        <v>1868</v>
      </c>
      <c r="H308" s="13">
        <v>3355134.7480000001</v>
      </c>
      <c r="I308" s="14">
        <v>32038654.260000002</v>
      </c>
      <c r="J308" t="s">
        <v>1061</v>
      </c>
      <c r="K308" s="10">
        <v>8.93506</v>
      </c>
      <c r="M308" s="10">
        <v>22.727894150943388</v>
      </c>
      <c r="N308" s="10">
        <v>27.359518461538471</v>
      </c>
      <c r="O308" s="10">
        <v>31.013752115384641</v>
      </c>
      <c r="P308" s="10">
        <v>33.774844999999978</v>
      </c>
      <c r="Q308" s="10">
        <v>34.927620769230778</v>
      </c>
      <c r="R308" s="10">
        <v>35.774298076923067</v>
      </c>
      <c r="S308" s="10">
        <v>35.746590188679242</v>
      </c>
      <c r="T308" s="10">
        <v>35.767464038461533</v>
      </c>
      <c r="U308" s="10">
        <v>35.820974615384593</v>
      </c>
      <c r="V308" s="10">
        <v>35.797400769230769</v>
      </c>
      <c r="W308" s="10">
        <v>9.4645282692307653</v>
      </c>
      <c r="X308" s="10">
        <v>8.9406792452830217</v>
      </c>
      <c r="Y308" s="10">
        <v>8.9373651219512187</v>
      </c>
      <c r="Z308" s="11">
        <f t="shared" si="4"/>
        <v>-0.75008092999999998</v>
      </c>
    </row>
    <row r="309" spans="1:26" x14ac:dyDescent="0.3">
      <c r="A309" t="s">
        <v>308</v>
      </c>
      <c r="B309" t="s">
        <v>1869</v>
      </c>
      <c r="C309" t="s">
        <v>1870</v>
      </c>
      <c r="D309" t="s">
        <v>1014</v>
      </c>
      <c r="E309" t="s">
        <v>1027</v>
      </c>
      <c r="F309" t="s">
        <v>1382</v>
      </c>
      <c r="G309" t="s">
        <v>1555</v>
      </c>
      <c r="H309" s="13">
        <v>65932</v>
      </c>
      <c r="I309" s="14">
        <v>31909169.66</v>
      </c>
      <c r="J309" t="s">
        <v>1052</v>
      </c>
      <c r="K309" s="10">
        <v>498.13484999999997</v>
      </c>
      <c r="Y309" s="10">
        <v>499.51342024390237</v>
      </c>
      <c r="Z309" s="11" t="str">
        <f t="shared" si="4"/>
        <v/>
      </c>
    </row>
    <row r="310" spans="1:26" x14ac:dyDescent="0.3">
      <c r="A310" t="s">
        <v>309</v>
      </c>
      <c r="B310" t="s">
        <v>1871</v>
      </c>
      <c r="C310" t="s">
        <v>1872</v>
      </c>
      <c r="D310" t="s">
        <v>1014</v>
      </c>
      <c r="E310" t="s">
        <v>1019</v>
      </c>
      <c r="F310" t="s">
        <v>1081</v>
      </c>
      <c r="G310" t="s">
        <v>1873</v>
      </c>
      <c r="H310" s="13">
        <v>3109412</v>
      </c>
      <c r="I310" s="14">
        <v>31853189.210000001</v>
      </c>
      <c r="J310" t="s">
        <v>1052</v>
      </c>
      <c r="K310" s="10">
        <v>5.6012700000000004</v>
      </c>
      <c r="O310" s="10">
        <v>6.3066343243243237</v>
      </c>
      <c r="P310" s="10">
        <v>6.9251338461538499</v>
      </c>
      <c r="Q310" s="10">
        <v>7.4604596153846128</v>
      </c>
      <c r="R310" s="10">
        <v>7.9087880769230736</v>
      </c>
      <c r="S310" s="10">
        <v>8.3537720754716958</v>
      </c>
      <c r="T310" s="10">
        <v>8.7893734615384655</v>
      </c>
      <c r="U310" s="10">
        <v>9.0902126923076896</v>
      </c>
      <c r="V310" s="10">
        <v>9.4705975000000073</v>
      </c>
      <c r="W310" s="10">
        <v>9.7678469230769203</v>
      </c>
      <c r="X310" s="10">
        <v>10.06719245283019</v>
      </c>
      <c r="Y310" s="10">
        <v>5.601811707317073</v>
      </c>
      <c r="Z310" s="11">
        <f t="shared" si="4"/>
        <v>0.27291215000000002</v>
      </c>
    </row>
    <row r="311" spans="1:26" x14ac:dyDescent="0.3">
      <c r="A311" t="s">
        <v>310</v>
      </c>
      <c r="B311" t="s">
        <v>1874</v>
      </c>
      <c r="C311" t="s">
        <v>1875</v>
      </c>
      <c r="D311" t="s">
        <v>1014</v>
      </c>
      <c r="E311" t="s">
        <v>1032</v>
      </c>
      <c r="F311" t="s">
        <v>1193</v>
      </c>
      <c r="G311" t="s">
        <v>1425</v>
      </c>
      <c r="H311" s="13">
        <v>12224792</v>
      </c>
      <c r="I311" s="14">
        <v>31835849.23</v>
      </c>
      <c r="J311" t="s">
        <v>1052</v>
      </c>
      <c r="K311" s="10">
        <v>2.4866899999999998</v>
      </c>
      <c r="M311" s="10">
        <v>3.7249937735849028</v>
      </c>
      <c r="N311" s="10">
        <v>4.0007113461538459</v>
      </c>
      <c r="O311" s="10">
        <v>4.387811730769231</v>
      </c>
      <c r="P311" s="10">
        <v>4.6534713461538422</v>
      </c>
      <c r="Q311" s="10">
        <v>5.0582809615384638</v>
      </c>
      <c r="R311" s="10">
        <v>5.0706480769230797</v>
      </c>
      <c r="S311" s="10">
        <v>5.0652669811320754</v>
      </c>
      <c r="T311" s="10">
        <v>5.0654990384615353</v>
      </c>
      <c r="U311" s="10">
        <v>5.0681615384615402</v>
      </c>
      <c r="V311" s="10">
        <v>5.014704230769234</v>
      </c>
      <c r="W311" s="10">
        <v>2.494010384615386</v>
      </c>
      <c r="X311" s="10">
        <v>2.4915111320754719</v>
      </c>
      <c r="Y311" s="10">
        <v>2.4868963414634142</v>
      </c>
      <c r="Z311" s="11">
        <f t="shared" si="4"/>
        <v>-0.50864049</v>
      </c>
    </row>
    <row r="312" spans="1:26" x14ac:dyDescent="0.3">
      <c r="A312" t="s">
        <v>311</v>
      </c>
      <c r="B312" t="s">
        <v>1876</v>
      </c>
      <c r="C312" t="s">
        <v>1877</v>
      </c>
      <c r="D312" t="s">
        <v>1014</v>
      </c>
      <c r="E312" t="s">
        <v>1027</v>
      </c>
      <c r="F312" t="s">
        <v>1068</v>
      </c>
      <c r="G312" t="s">
        <v>1197</v>
      </c>
      <c r="H312" s="13">
        <v>8232.143</v>
      </c>
      <c r="I312" s="14">
        <v>31396169.260000002</v>
      </c>
      <c r="J312" t="s">
        <v>1061</v>
      </c>
      <c r="K312" s="10">
        <v>3959.4621200000001</v>
      </c>
      <c r="Q312" s="10">
        <v>2743.7703400000009</v>
      </c>
      <c r="R312" s="10">
        <v>2925.8089553846148</v>
      </c>
      <c r="S312" s="10">
        <v>3084.0216965000009</v>
      </c>
      <c r="T312" s="10">
        <v>3219.6727982692319</v>
      </c>
      <c r="U312" s="10">
        <v>3382.5599521153822</v>
      </c>
      <c r="V312" s="10">
        <v>3613.66989153846</v>
      </c>
      <c r="W312" s="10">
        <v>3793.7772809615381</v>
      </c>
      <c r="X312" s="10">
        <v>3873.530824150942</v>
      </c>
      <c r="Y312" s="10">
        <v>3965.6543014634158</v>
      </c>
      <c r="Z312" s="11">
        <f t="shared" si="4"/>
        <v>0.32391788999999999</v>
      </c>
    </row>
    <row r="313" spans="1:26" x14ac:dyDescent="0.3">
      <c r="A313" t="s">
        <v>312</v>
      </c>
      <c r="B313" t="s">
        <v>1878</v>
      </c>
      <c r="C313" t="s">
        <v>1879</v>
      </c>
      <c r="D313" t="s">
        <v>1014</v>
      </c>
      <c r="E313" t="s">
        <v>1027</v>
      </c>
      <c r="F313" t="s">
        <v>1857</v>
      </c>
      <c r="G313" t="s">
        <v>1858</v>
      </c>
      <c r="H313" s="13">
        <v>2049372</v>
      </c>
      <c r="I313" s="14">
        <v>30784631.420000002</v>
      </c>
      <c r="J313" t="s">
        <v>1052</v>
      </c>
      <c r="K313" s="10">
        <v>15.405110000000001</v>
      </c>
      <c r="S313" s="10">
        <v>12.11057735849057</v>
      </c>
      <c r="T313" s="10">
        <v>12.685540769230769</v>
      </c>
      <c r="U313" s="10">
        <v>13.112653461538461</v>
      </c>
      <c r="V313" s="10">
        <v>13.858213461538471</v>
      </c>
      <c r="W313" s="10">
        <v>14.54379903846154</v>
      </c>
      <c r="X313" s="10">
        <v>14.978778301886789</v>
      </c>
      <c r="Y313" s="10">
        <v>15.402719024390249</v>
      </c>
      <c r="Z313" s="11" t="str">
        <f t="shared" si="4"/>
        <v/>
      </c>
    </row>
    <row r="314" spans="1:26" x14ac:dyDescent="0.3">
      <c r="A314" t="s">
        <v>313</v>
      </c>
      <c r="B314" t="s">
        <v>1880</v>
      </c>
      <c r="C314" t="s">
        <v>1881</v>
      </c>
      <c r="D314" t="s">
        <v>1014</v>
      </c>
      <c r="E314" t="s">
        <v>1032</v>
      </c>
      <c r="F314" t="s">
        <v>1081</v>
      </c>
      <c r="G314" t="s">
        <v>1882</v>
      </c>
      <c r="H314" s="13">
        <v>1301116.4010000001</v>
      </c>
      <c r="I314" s="14">
        <v>30784318.010000002</v>
      </c>
      <c r="J314" t="s">
        <v>1163</v>
      </c>
      <c r="K314" s="10">
        <v>22.76435</v>
      </c>
      <c r="M314" s="10">
        <v>17.836176981132091</v>
      </c>
      <c r="N314" s="10">
        <v>19.40604980769232</v>
      </c>
      <c r="O314" s="10">
        <v>22.311700384615399</v>
      </c>
      <c r="P314" s="10">
        <v>24.762395192307711</v>
      </c>
      <c r="Q314" s="10">
        <v>26.706961923076921</v>
      </c>
      <c r="R314" s="10">
        <v>28.843400384615371</v>
      </c>
      <c r="S314" s="10">
        <v>30.523646037735841</v>
      </c>
      <c r="T314" s="10">
        <v>31.7339819230769</v>
      </c>
      <c r="U314" s="10">
        <v>33.00597769230771</v>
      </c>
      <c r="V314" s="10">
        <v>34.034495769230801</v>
      </c>
      <c r="W314" s="10">
        <v>35.121860769230793</v>
      </c>
      <c r="X314" s="10">
        <v>23.03803339622641</v>
      </c>
      <c r="Y314" s="10">
        <v>22.772500731707311</v>
      </c>
      <c r="Z314" s="11">
        <f t="shared" si="4"/>
        <v>-0.20127192999999999</v>
      </c>
    </row>
    <row r="315" spans="1:26" x14ac:dyDescent="0.3">
      <c r="A315" t="s">
        <v>314</v>
      </c>
      <c r="B315" t="s">
        <v>1883</v>
      </c>
      <c r="C315" t="s">
        <v>1884</v>
      </c>
      <c r="D315" t="s">
        <v>1015</v>
      </c>
      <c r="E315" t="s">
        <v>1032</v>
      </c>
      <c r="F315" t="s">
        <v>1885</v>
      </c>
      <c r="G315" t="s">
        <v>1886</v>
      </c>
      <c r="H315" s="13">
        <v>2171336</v>
      </c>
      <c r="I315" s="14">
        <v>30404055.43</v>
      </c>
      <c r="J315" t="s">
        <v>1061</v>
      </c>
      <c r="K315" s="10">
        <v>6.0833399999999997</v>
      </c>
      <c r="Y315" s="10">
        <v>6.0833399999999944</v>
      </c>
      <c r="Z315" s="11" t="str">
        <f t="shared" si="4"/>
        <v/>
      </c>
    </row>
    <row r="316" spans="1:26" x14ac:dyDescent="0.3">
      <c r="A316" t="s">
        <v>315</v>
      </c>
      <c r="B316" t="s">
        <v>1887</v>
      </c>
      <c r="C316" t="s">
        <v>1888</v>
      </c>
      <c r="D316" t="s">
        <v>1014</v>
      </c>
      <c r="E316" t="s">
        <v>1027</v>
      </c>
      <c r="F316" t="s">
        <v>1889</v>
      </c>
      <c r="G316" t="s">
        <v>1890</v>
      </c>
      <c r="H316" s="13">
        <v>2161111</v>
      </c>
      <c r="I316" s="14">
        <v>30072484.59</v>
      </c>
      <c r="J316" t="s">
        <v>1052</v>
      </c>
      <c r="K316" s="10">
        <v>14.418430000000001</v>
      </c>
      <c r="U316" s="10">
        <v>12.46691</v>
      </c>
      <c r="V316" s="10">
        <v>12.62590423076924</v>
      </c>
      <c r="W316" s="10">
        <v>13.38676250000001</v>
      </c>
      <c r="X316" s="10">
        <v>13.9099341509434</v>
      </c>
      <c r="Y316" s="10">
        <v>14.43444902439024</v>
      </c>
      <c r="Z316" s="11" t="str">
        <f t="shared" si="4"/>
        <v/>
      </c>
    </row>
    <row r="317" spans="1:26" x14ac:dyDescent="0.3">
      <c r="A317" t="s">
        <v>316</v>
      </c>
      <c r="B317" t="s">
        <v>1891</v>
      </c>
      <c r="C317" t="s">
        <v>1892</v>
      </c>
      <c r="D317" t="s">
        <v>1014</v>
      </c>
      <c r="E317" t="s">
        <v>1025</v>
      </c>
      <c r="F317" t="s">
        <v>1074</v>
      </c>
      <c r="G317" t="s">
        <v>1319</v>
      </c>
      <c r="H317" s="13">
        <v>20548.400000000001</v>
      </c>
      <c r="I317" s="14">
        <v>29921558.100000001</v>
      </c>
      <c r="J317" t="s">
        <v>1061</v>
      </c>
      <c r="K317" s="10">
        <v>1469.2280000000001</v>
      </c>
      <c r="M317" s="10">
        <v>637.67193157894758</v>
      </c>
      <c r="N317" s="10">
        <v>746.35644269230784</v>
      </c>
      <c r="O317" s="10">
        <v>853.56971269230735</v>
      </c>
      <c r="P317" s="10">
        <v>915.9075853846158</v>
      </c>
      <c r="Q317" s="10">
        <v>996.68296346153932</v>
      </c>
      <c r="R317" s="10">
        <v>1062.9633026923079</v>
      </c>
      <c r="S317" s="10">
        <v>1126.7217945283021</v>
      </c>
      <c r="T317" s="10">
        <v>1176.712794999999</v>
      </c>
      <c r="U317" s="10">
        <v>1230.267277500001</v>
      </c>
      <c r="V317" s="10">
        <v>1303.7434244230769</v>
      </c>
      <c r="W317" s="10">
        <v>1381.89586423077</v>
      </c>
      <c r="X317" s="10">
        <v>1443.0140784905659</v>
      </c>
      <c r="Y317" s="10">
        <v>1469.754893414635</v>
      </c>
      <c r="Z317" s="11">
        <f t="shared" si="4"/>
        <v>0.35753894000000003</v>
      </c>
    </row>
    <row r="318" spans="1:26" x14ac:dyDescent="0.3">
      <c r="A318" t="s">
        <v>317</v>
      </c>
      <c r="B318" t="s">
        <v>1893</v>
      </c>
      <c r="C318" t="s">
        <v>1894</v>
      </c>
      <c r="D318" t="s">
        <v>1014</v>
      </c>
      <c r="E318" t="s">
        <v>1027</v>
      </c>
      <c r="F318" t="s">
        <v>1399</v>
      </c>
      <c r="G318" t="s">
        <v>1895</v>
      </c>
      <c r="H318" s="13">
        <v>1319458</v>
      </c>
      <c r="I318" s="14">
        <v>29622815.699999999</v>
      </c>
      <c r="J318" t="s">
        <v>1052</v>
      </c>
      <c r="K318" s="10">
        <v>23.298940000000002</v>
      </c>
      <c r="M318" s="10">
        <v>8.3844516981132067</v>
      </c>
      <c r="N318" s="10">
        <v>10.23173538461538</v>
      </c>
      <c r="O318" s="10">
        <v>11.98586038461538</v>
      </c>
      <c r="P318" s="10">
        <v>13.52801288461538</v>
      </c>
      <c r="Q318" s="10">
        <v>14.89499153846155</v>
      </c>
      <c r="R318" s="10">
        <v>16.11955038461539</v>
      </c>
      <c r="S318" s="10">
        <v>17.41021018867924</v>
      </c>
      <c r="T318" s="10">
        <v>18.498495384615389</v>
      </c>
      <c r="U318" s="10">
        <v>19.632150000000021</v>
      </c>
      <c r="V318" s="10">
        <v>20.774054038461529</v>
      </c>
      <c r="W318" s="10">
        <v>21.999887884615379</v>
      </c>
      <c r="X318" s="10">
        <v>22.901264905660369</v>
      </c>
      <c r="Y318" s="10">
        <v>23.235866585365851</v>
      </c>
      <c r="Z318" s="11">
        <f t="shared" si="4"/>
        <v>0.42071363000000001</v>
      </c>
    </row>
    <row r="319" spans="1:26" x14ac:dyDescent="0.3">
      <c r="A319" t="s">
        <v>318</v>
      </c>
      <c r="B319" t="s">
        <v>1896</v>
      </c>
      <c r="C319" t="s">
        <v>1897</v>
      </c>
      <c r="D319" t="s">
        <v>1014</v>
      </c>
      <c r="E319" t="s">
        <v>1027</v>
      </c>
      <c r="F319" t="s">
        <v>1536</v>
      </c>
      <c r="G319" t="s">
        <v>1537</v>
      </c>
      <c r="H319" s="13">
        <v>760253.5</v>
      </c>
      <c r="I319" s="14">
        <v>29503419.57</v>
      </c>
      <c r="J319" t="s">
        <v>1052</v>
      </c>
      <c r="K319" s="10">
        <v>39.856740000000002</v>
      </c>
      <c r="U319" s="10">
        <v>33.917779038461568</v>
      </c>
      <c r="V319" s="10">
        <v>35.660338269230763</v>
      </c>
      <c r="W319" s="10">
        <v>37.717815576923087</v>
      </c>
      <c r="X319" s="10">
        <v>38.75558679245281</v>
      </c>
      <c r="Y319" s="10">
        <v>39.86672926829268</v>
      </c>
      <c r="Z319" s="11" t="str">
        <f t="shared" si="4"/>
        <v/>
      </c>
    </row>
    <row r="320" spans="1:26" x14ac:dyDescent="0.3">
      <c r="A320" t="s">
        <v>319</v>
      </c>
      <c r="B320" t="s">
        <v>1898</v>
      </c>
      <c r="C320" t="s">
        <v>1899</v>
      </c>
      <c r="D320" t="s">
        <v>1014</v>
      </c>
      <c r="E320" t="s">
        <v>1027</v>
      </c>
      <c r="F320" t="s">
        <v>1055</v>
      </c>
      <c r="G320" t="s">
        <v>1302</v>
      </c>
      <c r="H320" s="13">
        <v>799475</v>
      </c>
      <c r="I320" s="14">
        <v>29419282.66</v>
      </c>
      <c r="J320" t="s">
        <v>1052</v>
      </c>
      <c r="K320" s="10">
        <v>38.37771</v>
      </c>
      <c r="U320" s="10">
        <v>31.51712999999997</v>
      </c>
      <c r="V320" s="10">
        <v>33.085930961538487</v>
      </c>
      <c r="W320" s="10">
        <v>34.895242884615392</v>
      </c>
      <c r="X320" s="10">
        <v>36.5894813207547</v>
      </c>
      <c r="Y320" s="10">
        <v>38.361488780487818</v>
      </c>
      <c r="Z320" s="11" t="str">
        <f t="shared" si="4"/>
        <v/>
      </c>
    </row>
    <row r="321" spans="1:26" x14ac:dyDescent="0.3">
      <c r="A321" t="s">
        <v>320</v>
      </c>
      <c r="B321" t="s">
        <v>1900</v>
      </c>
      <c r="C321" t="s">
        <v>1901</v>
      </c>
      <c r="D321" t="s">
        <v>1014</v>
      </c>
      <c r="E321" t="s">
        <v>1025</v>
      </c>
      <c r="F321" t="s">
        <v>1123</v>
      </c>
      <c r="G321" t="s">
        <v>1140</v>
      </c>
      <c r="H321" s="13">
        <v>4262</v>
      </c>
      <c r="I321" s="14">
        <v>29212645.489999998</v>
      </c>
      <c r="J321" t="s">
        <v>1061</v>
      </c>
      <c r="K321" s="10">
        <v>7388.2219999999998</v>
      </c>
      <c r="X321" s="10">
        <v>7013.8253032075481</v>
      </c>
      <c r="Z321" s="11" t="str">
        <f t="shared" si="4"/>
        <v/>
      </c>
    </row>
    <row r="322" spans="1:26" x14ac:dyDescent="0.3">
      <c r="A322" t="s">
        <v>321</v>
      </c>
      <c r="B322" t="s">
        <v>1902</v>
      </c>
      <c r="C322" t="s">
        <v>1903</v>
      </c>
      <c r="D322" t="s">
        <v>1014</v>
      </c>
      <c r="E322" t="s">
        <v>1027</v>
      </c>
      <c r="F322" t="s">
        <v>1068</v>
      </c>
      <c r="G322" t="s">
        <v>1904</v>
      </c>
      <c r="H322" s="13">
        <v>24072.22</v>
      </c>
      <c r="I322" s="14">
        <v>29164818.829999998</v>
      </c>
      <c r="J322" t="s">
        <v>1052</v>
      </c>
      <c r="K322" s="10">
        <v>1273.39195</v>
      </c>
      <c r="M322" s="10">
        <v>607.59087169811335</v>
      </c>
      <c r="N322" s="10">
        <v>679.17586673076937</v>
      </c>
      <c r="O322" s="10">
        <v>751.18629769230711</v>
      </c>
      <c r="P322" s="10">
        <v>813.58735499999955</v>
      </c>
      <c r="Q322" s="10">
        <v>870.53726826923128</v>
      </c>
      <c r="R322" s="10">
        <v>926.79014807692351</v>
      </c>
      <c r="S322" s="10">
        <v>971.88176830188718</v>
      </c>
      <c r="T322" s="10">
        <v>1019.1954126923069</v>
      </c>
      <c r="U322" s="10">
        <v>1066.482359230768</v>
      </c>
      <c r="V322" s="10">
        <v>1131.1435815384609</v>
      </c>
      <c r="W322" s="10">
        <v>1179.9550675</v>
      </c>
      <c r="X322" s="10">
        <v>1237.0660424528289</v>
      </c>
      <c r="Y322" s="10">
        <v>1274.1935356097561</v>
      </c>
      <c r="Z322" s="11">
        <f t="shared" ref="Z322:Z385" si="5">IF(AND(ISNUMBER(INDEX($L322:$Y322,MATCH(BaseYear,p_years,0))),ISNUMBER(INDEX($L322:$Y322,MATCH(EndYear,p_years,0)))),ROUND(INDEX($L322:$Y322,MATCH(EndYear,p_years,0))/INDEX($L322:$Y322,MATCH(BaseYear,p_years,0))-1,8),"")</f>
        <v>0.33478549000000002</v>
      </c>
    </row>
    <row r="323" spans="1:26" x14ac:dyDescent="0.3">
      <c r="A323" t="s">
        <v>322</v>
      </c>
      <c r="B323" t="s">
        <v>1905</v>
      </c>
      <c r="C323" t="s">
        <v>1906</v>
      </c>
      <c r="D323" t="s">
        <v>1014</v>
      </c>
      <c r="E323" t="s">
        <v>1027</v>
      </c>
      <c r="F323" t="s">
        <v>1382</v>
      </c>
      <c r="G323" t="s">
        <v>1555</v>
      </c>
      <c r="H323" s="13">
        <v>181827</v>
      </c>
      <c r="I323" s="14">
        <v>29131420.940000001</v>
      </c>
      <c r="J323" t="s">
        <v>1052</v>
      </c>
      <c r="K323" s="10">
        <v>166.76453000000001</v>
      </c>
      <c r="W323" s="10">
        <v>156.19723432432431</v>
      </c>
      <c r="X323" s="10">
        <v>158.7720315094339</v>
      </c>
      <c r="Y323" s="10">
        <v>166.8108521951219</v>
      </c>
      <c r="Z323" s="11" t="str">
        <f t="shared" si="5"/>
        <v/>
      </c>
    </row>
    <row r="324" spans="1:26" x14ac:dyDescent="0.3">
      <c r="A324" t="s">
        <v>323</v>
      </c>
      <c r="B324" t="s">
        <v>1907</v>
      </c>
      <c r="C324" t="s">
        <v>1908</v>
      </c>
      <c r="D324" t="s">
        <v>1014</v>
      </c>
      <c r="E324" t="s">
        <v>1023</v>
      </c>
      <c r="F324" t="s">
        <v>1305</v>
      </c>
      <c r="G324" t="s">
        <v>1909</v>
      </c>
      <c r="H324" s="13">
        <v>854908</v>
      </c>
      <c r="I324" s="14">
        <v>28847901.030000001</v>
      </c>
      <c r="J324" t="s">
        <v>1052</v>
      </c>
      <c r="K324" s="10">
        <v>34.538879999999999</v>
      </c>
      <c r="M324" s="10">
        <v>18.089423018867919</v>
      </c>
      <c r="N324" s="10">
        <v>19.332356346153841</v>
      </c>
      <c r="O324" s="10">
        <v>20.636086153846161</v>
      </c>
      <c r="P324" s="10">
        <v>22.267324807692319</v>
      </c>
      <c r="Q324" s="10">
        <v>24.097058461538481</v>
      </c>
      <c r="R324" s="10">
        <v>24.850583653846169</v>
      </c>
      <c r="S324" s="10">
        <v>26.723356037735851</v>
      </c>
      <c r="T324" s="10">
        <v>28.05114153846155</v>
      </c>
      <c r="U324" s="10">
        <v>29.475041538461561</v>
      </c>
      <c r="V324" s="10">
        <v>30.88485384615387</v>
      </c>
      <c r="W324" s="10">
        <v>32.26034884615386</v>
      </c>
      <c r="X324" s="10">
        <v>33.693535283018889</v>
      </c>
      <c r="Y324" s="10">
        <v>34.518239268292682</v>
      </c>
      <c r="Z324" s="11">
        <f t="shared" si="5"/>
        <v>0.35584483</v>
      </c>
    </row>
    <row r="325" spans="1:26" x14ac:dyDescent="0.3">
      <c r="A325" t="s">
        <v>324</v>
      </c>
      <c r="B325" t="s">
        <v>1910</v>
      </c>
      <c r="C325" t="s">
        <v>1911</v>
      </c>
      <c r="D325" t="s">
        <v>1014</v>
      </c>
      <c r="E325" t="s">
        <v>1020</v>
      </c>
      <c r="F325" t="s">
        <v>1755</v>
      </c>
      <c r="G325" t="s">
        <v>1912</v>
      </c>
      <c r="H325" s="13">
        <v>673473</v>
      </c>
      <c r="I325" s="14">
        <v>28789813.050000001</v>
      </c>
      <c r="J325" t="s">
        <v>1052</v>
      </c>
      <c r="K325" s="10">
        <v>45.251370000000001</v>
      </c>
      <c r="V325" s="10">
        <v>37.396372307692282</v>
      </c>
      <c r="W325" s="10">
        <v>40.058127692307707</v>
      </c>
      <c r="X325" s="10">
        <v>42.794584905660393</v>
      </c>
      <c r="Y325" s="10">
        <v>45.304722195121947</v>
      </c>
      <c r="Z325" s="11" t="str">
        <f t="shared" si="5"/>
        <v/>
      </c>
    </row>
    <row r="326" spans="1:26" x14ac:dyDescent="0.3">
      <c r="A326" t="s">
        <v>325</v>
      </c>
      <c r="B326" t="s">
        <v>1913</v>
      </c>
      <c r="C326" t="s">
        <v>1914</v>
      </c>
      <c r="D326" t="s">
        <v>1014</v>
      </c>
      <c r="E326" t="s">
        <v>1018</v>
      </c>
      <c r="F326" t="s">
        <v>1131</v>
      </c>
      <c r="G326" t="s">
        <v>1915</v>
      </c>
      <c r="H326" s="13">
        <v>1118150</v>
      </c>
      <c r="I326" s="14">
        <v>28783515.359999999</v>
      </c>
      <c r="J326" t="s">
        <v>1052</v>
      </c>
      <c r="K326" s="10">
        <v>26.635349999999999</v>
      </c>
      <c r="X326" s="10">
        <v>25.864406415094329</v>
      </c>
      <c r="Y326" s="10">
        <v>26.610128292682941</v>
      </c>
      <c r="Z326" s="11" t="str">
        <f t="shared" si="5"/>
        <v/>
      </c>
    </row>
    <row r="327" spans="1:26" x14ac:dyDescent="0.3">
      <c r="A327" t="s">
        <v>326</v>
      </c>
      <c r="B327" t="s">
        <v>1916</v>
      </c>
      <c r="C327" t="s">
        <v>1917</v>
      </c>
      <c r="D327" t="s">
        <v>1015</v>
      </c>
      <c r="E327" t="s">
        <v>1019</v>
      </c>
      <c r="F327" t="s">
        <v>1918</v>
      </c>
      <c r="G327" t="s">
        <v>1919</v>
      </c>
      <c r="H327" s="13">
        <v>4555179.2</v>
      </c>
      <c r="I327" s="14">
        <v>28743090.16</v>
      </c>
      <c r="J327" t="s">
        <v>1061</v>
      </c>
      <c r="K327" s="10">
        <v>5.9249099999999997</v>
      </c>
      <c r="W327" s="10">
        <v>5.9319819565217404</v>
      </c>
      <c r="X327" s="10">
        <v>5.9255096226415072</v>
      </c>
      <c r="Y327" s="10">
        <v>5.927179756097563</v>
      </c>
      <c r="Z327" s="11" t="str">
        <f t="shared" si="5"/>
        <v/>
      </c>
    </row>
    <row r="328" spans="1:26" x14ac:dyDescent="0.3">
      <c r="A328" t="s">
        <v>327</v>
      </c>
      <c r="B328" t="s">
        <v>1920</v>
      </c>
      <c r="C328" t="s">
        <v>1921</v>
      </c>
      <c r="D328" t="s">
        <v>1017</v>
      </c>
      <c r="E328" t="s">
        <v>1024</v>
      </c>
      <c r="F328" t="s">
        <v>1918</v>
      </c>
      <c r="G328" t="s">
        <v>1922</v>
      </c>
      <c r="H328" s="13">
        <v>10715.941999999999</v>
      </c>
      <c r="I328" s="14">
        <v>28706183.530000001</v>
      </c>
      <c r="J328" t="s">
        <v>1061</v>
      </c>
      <c r="K328" s="10">
        <v>3369.51</v>
      </c>
      <c r="Y328" s="10">
        <v>3203.8462631707298</v>
      </c>
      <c r="Z328" s="11" t="str">
        <f t="shared" si="5"/>
        <v/>
      </c>
    </row>
    <row r="329" spans="1:26" x14ac:dyDescent="0.3">
      <c r="A329" t="s">
        <v>328</v>
      </c>
      <c r="B329" t="s">
        <v>1923</v>
      </c>
      <c r="C329" t="s">
        <v>1924</v>
      </c>
      <c r="D329" t="s">
        <v>1014</v>
      </c>
      <c r="E329" t="s">
        <v>1027</v>
      </c>
      <c r="F329" t="s">
        <v>1925</v>
      </c>
      <c r="G329" t="s">
        <v>1926</v>
      </c>
      <c r="H329" s="13">
        <v>2354169</v>
      </c>
      <c r="I329" s="14">
        <v>28585925.780000001</v>
      </c>
      <c r="J329" t="s">
        <v>1061</v>
      </c>
      <c r="K329" s="10">
        <v>12.473050000000001</v>
      </c>
      <c r="M329" s="10">
        <v>4.3641456000000014</v>
      </c>
      <c r="N329" s="10">
        <v>5.4668646153846101</v>
      </c>
      <c r="O329" s="10">
        <v>6.0798273076923071</v>
      </c>
      <c r="P329" s="10">
        <v>6.8500561538461531</v>
      </c>
      <c r="Q329" s="10">
        <v>7.6966024999999982</v>
      </c>
      <c r="R329" s="10">
        <v>8.4130584615384532</v>
      </c>
      <c r="S329" s="10">
        <v>9.204935094339616</v>
      </c>
      <c r="T329" s="10">
        <v>10.08804288461539</v>
      </c>
      <c r="U329" s="10">
        <v>10.661830000000011</v>
      </c>
      <c r="V329" s="10">
        <v>11.568089999999991</v>
      </c>
      <c r="W329" s="10">
        <v>12.51826307692308</v>
      </c>
      <c r="X329" s="10">
        <v>12.493142641509429</v>
      </c>
      <c r="Y329" s="10">
        <v>12.48089048780488</v>
      </c>
      <c r="Z329" s="11">
        <f t="shared" si="5"/>
        <v>0.48497037999999998</v>
      </c>
    </row>
    <row r="330" spans="1:26" x14ac:dyDescent="0.3">
      <c r="A330" t="s">
        <v>329</v>
      </c>
      <c r="B330" t="s">
        <v>1927</v>
      </c>
      <c r="C330" t="s">
        <v>1829</v>
      </c>
      <c r="D330" t="s">
        <v>1014</v>
      </c>
      <c r="E330" t="s">
        <v>1027</v>
      </c>
      <c r="F330" t="s">
        <v>1811</v>
      </c>
      <c r="G330" t="s">
        <v>1830</v>
      </c>
      <c r="H330" s="13">
        <v>5254494</v>
      </c>
      <c r="I330" s="14">
        <v>28559951.420000002</v>
      </c>
      <c r="J330" t="s">
        <v>1061</v>
      </c>
      <c r="K330" s="10">
        <v>5.3961899999999998</v>
      </c>
      <c r="R330" s="10">
        <v>4.4985742307692336</v>
      </c>
      <c r="S330" s="10">
        <v>4.9568401886792444</v>
      </c>
      <c r="T330" s="10">
        <v>5.2511665384615407</v>
      </c>
      <c r="U330" s="10">
        <v>5.4179700000000004</v>
      </c>
      <c r="V330" s="10">
        <v>5.4186165384615386</v>
      </c>
      <c r="W330" s="10">
        <v>5.4140115384615379</v>
      </c>
      <c r="X330" s="10">
        <v>5.4074888679245259</v>
      </c>
      <c r="Y330" s="10">
        <v>5.3969417073170716</v>
      </c>
      <c r="Z330" s="11">
        <f t="shared" si="5"/>
        <v>0.20204505</v>
      </c>
    </row>
    <row r="331" spans="1:26" x14ac:dyDescent="0.3">
      <c r="A331" t="s">
        <v>330</v>
      </c>
      <c r="B331" t="s">
        <v>1928</v>
      </c>
      <c r="C331" t="s">
        <v>1929</v>
      </c>
      <c r="D331" t="s">
        <v>1015</v>
      </c>
      <c r="E331" t="s">
        <v>1019</v>
      </c>
      <c r="F331" t="s">
        <v>1382</v>
      </c>
      <c r="G331" t="s">
        <v>1930</v>
      </c>
      <c r="H331" s="13">
        <v>520862</v>
      </c>
      <c r="I331" s="14">
        <v>28499686.199999999</v>
      </c>
      <c r="J331" t="s">
        <v>1061</v>
      </c>
      <c r="K331" s="10">
        <v>30.632380000000001</v>
      </c>
      <c r="X331" s="10">
        <v>60.342368301886793</v>
      </c>
      <c r="Y331" s="10">
        <v>37.043816341463412</v>
      </c>
      <c r="Z331" s="11" t="str">
        <f t="shared" si="5"/>
        <v/>
      </c>
    </row>
    <row r="332" spans="1:26" x14ac:dyDescent="0.3">
      <c r="A332" t="s">
        <v>331</v>
      </c>
      <c r="B332" t="s">
        <v>1931</v>
      </c>
      <c r="C332" t="s">
        <v>1932</v>
      </c>
      <c r="D332" t="s">
        <v>1014</v>
      </c>
      <c r="E332" t="s">
        <v>1019</v>
      </c>
      <c r="F332" t="s">
        <v>1059</v>
      </c>
      <c r="G332" t="s">
        <v>1933</v>
      </c>
      <c r="H332" s="13">
        <v>311691.78399999999</v>
      </c>
      <c r="I332" s="14">
        <v>28411422.510000002</v>
      </c>
      <c r="J332" t="s">
        <v>1061</v>
      </c>
      <c r="K332" s="10">
        <v>91.302599999999998</v>
      </c>
      <c r="N332" s="10">
        <v>72.112373793103458</v>
      </c>
      <c r="O332" s="10">
        <v>72.131995576923117</v>
      </c>
      <c r="P332" s="10">
        <v>72.702897692307687</v>
      </c>
      <c r="Q332" s="10">
        <v>78.417445384615419</v>
      </c>
      <c r="R332" s="10">
        <v>82.980122692307745</v>
      </c>
      <c r="S332" s="10">
        <v>82.922864905660333</v>
      </c>
      <c r="T332" s="10">
        <v>82.919196923076868</v>
      </c>
      <c r="U332" s="10">
        <v>82.935948269230849</v>
      </c>
      <c r="V332" s="10">
        <v>86.972378269230802</v>
      </c>
      <c r="W332" s="10">
        <v>91.311831923076866</v>
      </c>
      <c r="X332" s="10">
        <v>91.390193962264192</v>
      </c>
      <c r="Y332" s="10">
        <v>91.33877536585365</v>
      </c>
      <c r="Z332" s="11">
        <f t="shared" si="5"/>
        <v>0.10135043000000001</v>
      </c>
    </row>
    <row r="333" spans="1:26" x14ac:dyDescent="0.3">
      <c r="A333" t="s">
        <v>332</v>
      </c>
      <c r="B333" t="s">
        <v>1934</v>
      </c>
      <c r="C333" t="s">
        <v>1935</v>
      </c>
      <c r="D333" t="s">
        <v>1014</v>
      </c>
      <c r="E333" t="s">
        <v>1027</v>
      </c>
      <c r="F333" t="s">
        <v>1811</v>
      </c>
      <c r="G333" t="s">
        <v>1812</v>
      </c>
      <c r="H333" s="13">
        <v>2334838</v>
      </c>
      <c r="I333" s="14">
        <v>28278177.620000001</v>
      </c>
      <c r="J333" t="s">
        <v>1052</v>
      </c>
      <c r="K333" s="10">
        <v>11.884410000000001</v>
      </c>
      <c r="R333" s="10">
        <v>10.60155134615384</v>
      </c>
      <c r="S333" s="10">
        <v>11.234697169811319</v>
      </c>
      <c r="T333" s="10">
        <v>11.92457884615386</v>
      </c>
      <c r="U333" s="10">
        <v>11.95357923076924</v>
      </c>
      <c r="V333" s="10">
        <v>11.950671538461529</v>
      </c>
      <c r="W333" s="10">
        <v>11.9358701923077</v>
      </c>
      <c r="X333" s="10">
        <v>11.89614056603774</v>
      </c>
      <c r="Y333" s="10">
        <v>11.886768536585381</v>
      </c>
      <c r="Z333" s="11">
        <f t="shared" si="5"/>
        <v>0.12211319</v>
      </c>
    </row>
    <row r="334" spans="1:26" x14ac:dyDescent="0.3">
      <c r="A334" t="s">
        <v>333</v>
      </c>
      <c r="B334" t="s">
        <v>1936</v>
      </c>
      <c r="C334" t="s">
        <v>1937</v>
      </c>
      <c r="D334" t="s">
        <v>1015</v>
      </c>
      <c r="E334" t="s">
        <v>1030</v>
      </c>
      <c r="F334" t="s">
        <v>1618</v>
      </c>
      <c r="G334" t="s">
        <v>1938</v>
      </c>
      <c r="H334" s="13">
        <v>189602406.36700001</v>
      </c>
      <c r="I334" s="14">
        <v>28162458.98</v>
      </c>
      <c r="J334" t="s">
        <v>1163</v>
      </c>
      <c r="K334" s="10">
        <v>8.1339999999999996E-2</v>
      </c>
      <c r="T334" s="10">
        <v>9.9046458333333379E-2</v>
      </c>
      <c r="U334" s="10">
        <v>9.3485000000000068E-2</v>
      </c>
      <c r="V334" s="10">
        <v>9.1976346153846159E-2</v>
      </c>
      <c r="W334" s="10">
        <v>9.0623076923076917E-2</v>
      </c>
      <c r="X334" s="10">
        <v>9.1000377358490578E-2</v>
      </c>
      <c r="Y334" s="10">
        <v>8.7706829268292708E-2</v>
      </c>
      <c r="Z334" s="11" t="str">
        <f t="shared" si="5"/>
        <v/>
      </c>
    </row>
    <row r="335" spans="1:26" x14ac:dyDescent="0.3">
      <c r="A335" t="s">
        <v>334</v>
      </c>
      <c r="B335" t="s">
        <v>1939</v>
      </c>
      <c r="C335" t="s">
        <v>1940</v>
      </c>
      <c r="D335" t="s">
        <v>1015</v>
      </c>
      <c r="E335" t="s">
        <v>1030</v>
      </c>
      <c r="F335" t="s">
        <v>1941</v>
      </c>
      <c r="G335" t="s">
        <v>1942</v>
      </c>
      <c r="H335" s="13">
        <v>130888.98</v>
      </c>
      <c r="I335" s="14">
        <v>28135798.649999999</v>
      </c>
      <c r="J335" t="s">
        <v>1052</v>
      </c>
      <c r="K335" s="10">
        <v>17.177340000000001</v>
      </c>
      <c r="W335" s="10">
        <v>32.242528888888913</v>
      </c>
      <c r="X335" s="10">
        <v>24.81827943396226</v>
      </c>
      <c r="Y335" s="10">
        <v>15.83259634146342</v>
      </c>
      <c r="Z335" s="11" t="str">
        <f t="shared" si="5"/>
        <v/>
      </c>
    </row>
    <row r="336" spans="1:26" x14ac:dyDescent="0.3">
      <c r="A336" t="s">
        <v>335</v>
      </c>
      <c r="B336" t="s">
        <v>1943</v>
      </c>
      <c r="C336" t="s">
        <v>1944</v>
      </c>
      <c r="D336" t="s">
        <v>1014</v>
      </c>
      <c r="E336" t="s">
        <v>1025</v>
      </c>
      <c r="F336" t="s">
        <v>1696</v>
      </c>
      <c r="G336" t="s">
        <v>1697</v>
      </c>
      <c r="H336" s="13">
        <v>1881590</v>
      </c>
      <c r="I336" s="14">
        <v>28046695.870000001</v>
      </c>
      <c r="J336" t="s">
        <v>1163</v>
      </c>
      <c r="K336" s="10">
        <v>15.38387</v>
      </c>
      <c r="V336" s="10">
        <v>13.32745243243243</v>
      </c>
      <c r="W336" s="10">
        <v>13.99218211538461</v>
      </c>
      <c r="X336" s="10">
        <v>14.79632094339623</v>
      </c>
      <c r="Y336" s="10">
        <v>15.382995609756099</v>
      </c>
      <c r="Z336" s="11" t="str">
        <f t="shared" si="5"/>
        <v/>
      </c>
    </row>
    <row r="337" spans="1:26" x14ac:dyDescent="0.3">
      <c r="A337" t="s">
        <v>336</v>
      </c>
      <c r="B337" t="s">
        <v>1945</v>
      </c>
      <c r="C337" t="s">
        <v>1946</v>
      </c>
      <c r="D337" t="s">
        <v>1014</v>
      </c>
      <c r="E337" t="s">
        <v>1025</v>
      </c>
      <c r="F337" t="s">
        <v>1059</v>
      </c>
      <c r="G337" t="s">
        <v>1947</v>
      </c>
      <c r="H337" s="13">
        <v>14264.18</v>
      </c>
      <c r="I337" s="14">
        <v>28019096.140000001</v>
      </c>
      <c r="J337" t="s">
        <v>1061</v>
      </c>
      <c r="K337" s="10">
        <v>2075.2967800000001</v>
      </c>
      <c r="W337" s="10">
        <v>1851.1667018749999</v>
      </c>
      <c r="X337" s="10">
        <v>1957.9276258490579</v>
      </c>
      <c r="Y337" s="10">
        <v>2077.8417656097572</v>
      </c>
      <c r="Z337" s="11" t="str">
        <f t="shared" si="5"/>
        <v/>
      </c>
    </row>
    <row r="338" spans="1:26" x14ac:dyDescent="0.3">
      <c r="A338" t="s">
        <v>337</v>
      </c>
      <c r="B338" t="s">
        <v>1948</v>
      </c>
      <c r="C338" t="s">
        <v>1949</v>
      </c>
      <c r="D338" t="s">
        <v>1014</v>
      </c>
      <c r="E338" t="s">
        <v>1018</v>
      </c>
      <c r="F338" t="s">
        <v>1068</v>
      </c>
      <c r="G338" t="s">
        <v>1225</v>
      </c>
      <c r="H338" s="13">
        <v>2912485</v>
      </c>
      <c r="I338" s="14">
        <v>27885116.460000001</v>
      </c>
      <c r="J338" t="s">
        <v>1052</v>
      </c>
      <c r="K338" s="10">
        <v>9.7747399999999995</v>
      </c>
      <c r="R338" s="10">
        <v>7.1315661538461548</v>
      </c>
      <c r="S338" s="10">
        <v>7.4883647169811303</v>
      </c>
      <c r="T338" s="10">
        <v>7.8527682692307641</v>
      </c>
      <c r="U338" s="10">
        <v>8.2571280769230828</v>
      </c>
      <c r="V338" s="10">
        <v>8.6622273076922944</v>
      </c>
      <c r="W338" s="10">
        <v>9.0862994230769196</v>
      </c>
      <c r="X338" s="10">
        <v>9.5209235849056562</v>
      </c>
      <c r="Y338" s="10">
        <v>9.7564846341463394</v>
      </c>
      <c r="Z338" s="11">
        <f t="shared" si="5"/>
        <v>0.33503965000000002</v>
      </c>
    </row>
    <row r="339" spans="1:26" x14ac:dyDescent="0.3">
      <c r="A339" t="s">
        <v>338</v>
      </c>
      <c r="B339" t="s">
        <v>1950</v>
      </c>
      <c r="C339" t="s">
        <v>1951</v>
      </c>
      <c r="D339" t="s">
        <v>1014</v>
      </c>
      <c r="E339" t="s">
        <v>1027</v>
      </c>
      <c r="F339" t="s">
        <v>1270</v>
      </c>
      <c r="G339" t="s">
        <v>1467</v>
      </c>
      <c r="H339" s="13">
        <v>1680939</v>
      </c>
      <c r="I339" s="14">
        <v>27843337.34</v>
      </c>
      <c r="J339" t="s">
        <v>1052</v>
      </c>
      <c r="K339" s="10">
        <v>17.196770000000001</v>
      </c>
      <c r="O339" s="10">
        <v>10.21105333333333</v>
      </c>
      <c r="P339" s="10">
        <v>11.06394038461538</v>
      </c>
      <c r="Q339" s="10">
        <v>12.023054999999999</v>
      </c>
      <c r="R339" s="10">
        <v>12.26619384615384</v>
      </c>
      <c r="S339" s="10">
        <v>12.851922264150939</v>
      </c>
      <c r="T339" s="10">
        <v>13.534980384615389</v>
      </c>
      <c r="U339" s="10">
        <v>14.190573076923069</v>
      </c>
      <c r="V339" s="10">
        <v>14.89660153846155</v>
      </c>
      <c r="W339" s="10">
        <v>15.654110192307691</v>
      </c>
      <c r="X339" s="10">
        <v>16.406594716981129</v>
      </c>
      <c r="Y339" s="10">
        <v>17.223748292682931</v>
      </c>
      <c r="Z339" s="11">
        <f t="shared" si="5"/>
        <v>0.33754569000000001</v>
      </c>
    </row>
    <row r="340" spans="1:26" x14ac:dyDescent="0.3">
      <c r="A340" t="s">
        <v>339</v>
      </c>
      <c r="B340" t="s">
        <v>1952</v>
      </c>
      <c r="C340" t="s">
        <v>1953</v>
      </c>
      <c r="D340" t="s">
        <v>1015</v>
      </c>
      <c r="E340" t="s">
        <v>1019</v>
      </c>
      <c r="F340" t="s">
        <v>1954</v>
      </c>
      <c r="G340" t="s">
        <v>1955</v>
      </c>
      <c r="H340" s="13">
        <v>1394315</v>
      </c>
      <c r="I340" s="14">
        <v>27829117.109999999</v>
      </c>
      <c r="J340" t="s">
        <v>1052</v>
      </c>
      <c r="K340" s="10">
        <v>12.5266</v>
      </c>
      <c r="X340" s="10">
        <v>12.869069166666669</v>
      </c>
      <c r="Y340" s="10">
        <v>12.52659999999999</v>
      </c>
      <c r="Z340" s="11" t="str">
        <f t="shared" si="5"/>
        <v/>
      </c>
    </row>
    <row r="341" spans="1:26" x14ac:dyDescent="0.3">
      <c r="A341" t="s">
        <v>340</v>
      </c>
      <c r="B341" t="s">
        <v>1956</v>
      </c>
      <c r="C341" t="s">
        <v>1957</v>
      </c>
      <c r="D341" t="s">
        <v>1014</v>
      </c>
      <c r="E341" t="s">
        <v>1027</v>
      </c>
      <c r="F341" t="s">
        <v>1068</v>
      </c>
      <c r="G341" t="s">
        <v>1533</v>
      </c>
      <c r="H341" s="13">
        <v>6989.5780000000004</v>
      </c>
      <c r="I341" s="14">
        <v>27499776.370000001</v>
      </c>
      <c r="J341" t="s">
        <v>1061</v>
      </c>
      <c r="K341" s="10">
        <v>4047.7090499999999</v>
      </c>
      <c r="X341" s="10">
        <v>3920.3398765517231</v>
      </c>
      <c r="Y341" s="10">
        <v>4018.6590360975629</v>
      </c>
      <c r="Z341" s="11" t="str">
        <f t="shared" si="5"/>
        <v/>
      </c>
    </row>
    <row r="342" spans="1:26" x14ac:dyDescent="0.3">
      <c r="A342" t="s">
        <v>341</v>
      </c>
      <c r="B342" t="s">
        <v>1958</v>
      </c>
      <c r="C342" t="s">
        <v>1959</v>
      </c>
      <c r="D342" t="s">
        <v>1014</v>
      </c>
      <c r="E342" t="s">
        <v>1025</v>
      </c>
      <c r="F342" t="s">
        <v>1696</v>
      </c>
      <c r="G342" t="s">
        <v>1697</v>
      </c>
      <c r="H342" s="13">
        <v>1841090</v>
      </c>
      <c r="I342" s="14">
        <v>27408536.309999999</v>
      </c>
      <c r="J342" t="s">
        <v>1163</v>
      </c>
      <c r="K342" s="10">
        <v>15.39875</v>
      </c>
      <c r="X342" s="10">
        <v>14.769078679245281</v>
      </c>
      <c r="Y342" s="10">
        <v>15.392053414634139</v>
      </c>
      <c r="Z342" s="11" t="str">
        <f t="shared" si="5"/>
        <v/>
      </c>
    </row>
    <row r="343" spans="1:26" x14ac:dyDescent="0.3">
      <c r="A343" t="s">
        <v>342</v>
      </c>
      <c r="B343" t="s">
        <v>1960</v>
      </c>
      <c r="C343" t="s">
        <v>1961</v>
      </c>
      <c r="D343" t="s">
        <v>1014</v>
      </c>
      <c r="E343" t="s">
        <v>1019</v>
      </c>
      <c r="F343" t="s">
        <v>1068</v>
      </c>
      <c r="G343" t="s">
        <v>1962</v>
      </c>
      <c r="H343" s="13">
        <v>1394929</v>
      </c>
      <c r="I343" s="14">
        <v>27242027</v>
      </c>
      <c r="J343" t="s">
        <v>1052</v>
      </c>
      <c r="K343" s="10">
        <v>19.124759999999998</v>
      </c>
      <c r="M343" s="10">
        <v>9.5880854716981201</v>
      </c>
      <c r="N343" s="10">
        <v>11.15838884615385</v>
      </c>
      <c r="O343" s="10">
        <v>12.38119423076923</v>
      </c>
      <c r="P343" s="10">
        <v>13.57120346153846</v>
      </c>
      <c r="Q343" s="10">
        <v>14.83291538461539</v>
      </c>
      <c r="R343" s="10">
        <v>15.79071346153847</v>
      </c>
      <c r="S343" s="10">
        <v>16.55274867924529</v>
      </c>
      <c r="T343" s="10">
        <v>17.33286711538463</v>
      </c>
      <c r="U343" s="10">
        <v>18.185211153846129</v>
      </c>
      <c r="V343" s="10">
        <v>19.073254999999989</v>
      </c>
      <c r="W343" s="10">
        <v>19.147629615384609</v>
      </c>
      <c r="X343" s="10">
        <v>19.152105660377359</v>
      </c>
      <c r="Y343" s="10">
        <v>19.130544390243902</v>
      </c>
      <c r="Z343" s="11">
        <f t="shared" si="5"/>
        <v>0.21287146000000001</v>
      </c>
    </row>
    <row r="344" spans="1:26" x14ac:dyDescent="0.3">
      <c r="A344" t="s">
        <v>343</v>
      </c>
      <c r="B344" t="s">
        <v>1963</v>
      </c>
      <c r="C344" t="s">
        <v>1964</v>
      </c>
      <c r="D344" t="s">
        <v>1014</v>
      </c>
      <c r="E344" t="s">
        <v>1027</v>
      </c>
      <c r="F344" t="s">
        <v>1419</v>
      </c>
      <c r="G344" t="s">
        <v>1420</v>
      </c>
      <c r="H344" s="13">
        <v>78045</v>
      </c>
      <c r="I344" s="14">
        <v>27108438.809999999</v>
      </c>
      <c r="J344" t="s">
        <v>1052</v>
      </c>
      <c r="K344" s="10">
        <v>365.63625999999999</v>
      </c>
      <c r="X344" s="10">
        <v>349.29907541666671</v>
      </c>
      <c r="Y344" s="10">
        <v>365.66103463414629</v>
      </c>
      <c r="Z344" s="11" t="str">
        <f t="shared" si="5"/>
        <v/>
      </c>
    </row>
    <row r="345" spans="1:26" x14ac:dyDescent="0.3">
      <c r="A345" t="s">
        <v>344</v>
      </c>
      <c r="B345" t="s">
        <v>1965</v>
      </c>
      <c r="C345" t="s">
        <v>1966</v>
      </c>
      <c r="D345" t="s">
        <v>1014</v>
      </c>
      <c r="E345" t="s">
        <v>1023</v>
      </c>
      <c r="F345" t="s">
        <v>1193</v>
      </c>
      <c r="G345" t="s">
        <v>1967</v>
      </c>
      <c r="H345" s="13">
        <v>179494</v>
      </c>
      <c r="I345" s="14">
        <v>26783978.370000001</v>
      </c>
      <c r="J345" t="s">
        <v>1052</v>
      </c>
      <c r="K345" s="10">
        <v>156.83623</v>
      </c>
      <c r="W345" s="10">
        <v>145.8405896875</v>
      </c>
      <c r="X345" s="10">
        <v>149.96803018867931</v>
      </c>
      <c r="Y345" s="10">
        <v>156.85701243902429</v>
      </c>
      <c r="Z345" s="11" t="str">
        <f t="shared" si="5"/>
        <v/>
      </c>
    </row>
    <row r="346" spans="1:26" x14ac:dyDescent="0.3">
      <c r="A346" t="s">
        <v>345</v>
      </c>
      <c r="B346" t="s">
        <v>1968</v>
      </c>
      <c r="C346" t="s">
        <v>1969</v>
      </c>
      <c r="D346" t="s">
        <v>1015</v>
      </c>
      <c r="E346" t="s">
        <v>1032</v>
      </c>
      <c r="F346" t="s">
        <v>1885</v>
      </c>
      <c r="G346" t="s">
        <v>1970</v>
      </c>
      <c r="H346" s="13">
        <v>1360621</v>
      </c>
      <c r="I346" s="14">
        <v>26398151.710000001</v>
      </c>
      <c r="J346" t="s">
        <v>1163</v>
      </c>
      <c r="K346" s="10">
        <v>4.9019300000000001</v>
      </c>
      <c r="X346" s="10">
        <v>9.8437948484848548</v>
      </c>
      <c r="Y346" s="10">
        <v>4.9641175609756081</v>
      </c>
      <c r="Z346" s="11" t="str">
        <f t="shared" si="5"/>
        <v/>
      </c>
    </row>
    <row r="347" spans="1:26" x14ac:dyDescent="0.3">
      <c r="A347" t="s">
        <v>346</v>
      </c>
      <c r="B347" t="s">
        <v>1971</v>
      </c>
      <c r="C347" t="s">
        <v>1972</v>
      </c>
      <c r="D347" t="s">
        <v>1014</v>
      </c>
      <c r="E347" t="s">
        <v>1027</v>
      </c>
      <c r="F347" t="s">
        <v>1382</v>
      </c>
      <c r="G347" t="s">
        <v>1523</v>
      </c>
      <c r="H347" s="13">
        <v>2884.9870000000001</v>
      </c>
      <c r="I347" s="14">
        <v>26311067.530000001</v>
      </c>
      <c r="J347" t="s">
        <v>1061</v>
      </c>
      <c r="K347" s="10">
        <v>9346.0678599999992</v>
      </c>
      <c r="Y347" s="10">
        <v>9389.6208578048827</v>
      </c>
      <c r="Z347" s="11" t="str">
        <f t="shared" si="5"/>
        <v/>
      </c>
    </row>
    <row r="348" spans="1:26" x14ac:dyDescent="0.3">
      <c r="A348" t="s">
        <v>347</v>
      </c>
      <c r="B348" t="s">
        <v>1973</v>
      </c>
      <c r="C348" t="s">
        <v>1974</v>
      </c>
      <c r="D348" t="s">
        <v>1014</v>
      </c>
      <c r="E348" t="s">
        <v>1027</v>
      </c>
      <c r="F348" t="s">
        <v>1889</v>
      </c>
      <c r="G348" t="s">
        <v>1890</v>
      </c>
      <c r="H348" s="13">
        <v>1880513</v>
      </c>
      <c r="I348" s="14">
        <v>26206199.219999999</v>
      </c>
      <c r="J348" t="s">
        <v>1052</v>
      </c>
      <c r="K348" s="10">
        <v>14.412610000000001</v>
      </c>
      <c r="V348" s="10">
        <v>12.601000000000001</v>
      </c>
      <c r="W348" s="10">
        <v>13.380514038461531</v>
      </c>
      <c r="X348" s="10">
        <v>13.906526415094341</v>
      </c>
      <c r="Y348" s="10">
        <v>14.43514731707317</v>
      </c>
      <c r="Z348" s="11" t="str">
        <f t="shared" si="5"/>
        <v/>
      </c>
    </row>
    <row r="349" spans="1:26" x14ac:dyDescent="0.3">
      <c r="A349" t="s">
        <v>348</v>
      </c>
      <c r="B349" t="s">
        <v>1975</v>
      </c>
      <c r="C349" t="s">
        <v>1976</v>
      </c>
      <c r="D349" t="s">
        <v>1014</v>
      </c>
      <c r="E349" t="s">
        <v>1027</v>
      </c>
      <c r="F349" t="s">
        <v>1068</v>
      </c>
      <c r="G349" t="s">
        <v>1238</v>
      </c>
      <c r="H349" s="13">
        <v>58492.425999999999</v>
      </c>
      <c r="I349" s="14">
        <v>25838698.379999999</v>
      </c>
      <c r="J349" t="s">
        <v>1052</v>
      </c>
      <c r="K349" s="10">
        <v>426.29899999999998</v>
      </c>
      <c r="W349" s="10">
        <v>373.84331791666688</v>
      </c>
      <c r="X349" s="10">
        <v>397.35550188679258</v>
      </c>
      <c r="Y349" s="10">
        <v>423.46947414634099</v>
      </c>
      <c r="Z349" s="11" t="str">
        <f t="shared" si="5"/>
        <v/>
      </c>
    </row>
    <row r="350" spans="1:26" x14ac:dyDescent="0.3">
      <c r="A350" t="s">
        <v>349</v>
      </c>
      <c r="B350" t="s">
        <v>1977</v>
      </c>
      <c r="C350" t="s">
        <v>1978</v>
      </c>
      <c r="D350" t="s">
        <v>1014</v>
      </c>
      <c r="E350" t="s">
        <v>1027</v>
      </c>
      <c r="F350" t="s">
        <v>1857</v>
      </c>
      <c r="G350" t="s">
        <v>1858</v>
      </c>
      <c r="H350" s="13">
        <v>1701090</v>
      </c>
      <c r="I350" s="14">
        <v>25569532.82</v>
      </c>
      <c r="J350" t="s">
        <v>1052</v>
      </c>
      <c r="K350" s="10">
        <v>15.40151</v>
      </c>
      <c r="S350" s="10">
        <v>12.230866486486491</v>
      </c>
      <c r="T350" s="10">
        <v>12.78143750000001</v>
      </c>
      <c r="U350" s="10">
        <v>13.07120846153847</v>
      </c>
      <c r="V350" s="10">
        <v>13.771052307692321</v>
      </c>
      <c r="W350" s="10">
        <v>14.535800961538451</v>
      </c>
      <c r="X350" s="10">
        <v>14.963906226415091</v>
      </c>
      <c r="Y350" s="10">
        <v>15.391466585365849</v>
      </c>
      <c r="Z350" s="11" t="str">
        <f t="shared" si="5"/>
        <v/>
      </c>
    </row>
    <row r="351" spans="1:26" x14ac:dyDescent="0.3">
      <c r="A351" t="s">
        <v>350</v>
      </c>
      <c r="B351" t="s">
        <v>1979</v>
      </c>
      <c r="C351" t="s">
        <v>1422</v>
      </c>
      <c r="D351" t="s">
        <v>1014</v>
      </c>
      <c r="E351" t="s">
        <v>1025</v>
      </c>
      <c r="F351" t="s">
        <v>1241</v>
      </c>
      <c r="G351" t="s">
        <v>1242</v>
      </c>
      <c r="H351" s="13">
        <v>3313</v>
      </c>
      <c r="I351" s="14">
        <v>25541536.620000001</v>
      </c>
      <c r="J351" t="s">
        <v>1061</v>
      </c>
      <c r="K351" s="10">
        <v>8035.0733300000002</v>
      </c>
      <c r="Y351" s="10">
        <v>8031.0447746341442</v>
      </c>
      <c r="Z351" s="11" t="str">
        <f t="shared" si="5"/>
        <v/>
      </c>
    </row>
    <row r="352" spans="1:26" x14ac:dyDescent="0.3">
      <c r="A352" t="s">
        <v>351</v>
      </c>
      <c r="B352" t="s">
        <v>1980</v>
      </c>
      <c r="C352" t="s">
        <v>1981</v>
      </c>
      <c r="D352" t="s">
        <v>1014</v>
      </c>
      <c r="E352" t="s">
        <v>1018</v>
      </c>
      <c r="F352" t="s">
        <v>1068</v>
      </c>
      <c r="G352" t="s">
        <v>1225</v>
      </c>
      <c r="H352" s="13">
        <v>1333260</v>
      </c>
      <c r="I352" s="14">
        <v>25526353.379999999</v>
      </c>
      <c r="J352" t="s">
        <v>1052</v>
      </c>
      <c r="K352" s="10">
        <v>19.53519</v>
      </c>
      <c r="M352" s="10">
        <v>9.1917200000000037</v>
      </c>
      <c r="N352" s="10">
        <v>10.40849134615384</v>
      </c>
      <c r="O352" s="10">
        <v>11.387978076923069</v>
      </c>
      <c r="P352" s="10">
        <v>12.33913000000001</v>
      </c>
      <c r="Q352" s="10">
        <v>13.39887461538461</v>
      </c>
      <c r="R352" s="10">
        <v>14.315221153846171</v>
      </c>
      <c r="S352" s="10">
        <v>14.98968943396226</v>
      </c>
      <c r="T352" s="10">
        <v>15.71133153846155</v>
      </c>
      <c r="U352" s="10">
        <v>16.477385961538481</v>
      </c>
      <c r="V352" s="10">
        <v>17.287110769230789</v>
      </c>
      <c r="W352" s="10">
        <v>18.153114038461531</v>
      </c>
      <c r="X352" s="10">
        <v>19.022513962264139</v>
      </c>
      <c r="Y352" s="10">
        <v>19.486734146341469</v>
      </c>
      <c r="Z352" s="11">
        <f t="shared" si="5"/>
        <v>0.32883129999999999</v>
      </c>
    </row>
    <row r="353" spans="1:26" x14ac:dyDescent="0.3">
      <c r="A353" t="s">
        <v>352</v>
      </c>
      <c r="B353" t="s">
        <v>1982</v>
      </c>
      <c r="C353" t="s">
        <v>1983</v>
      </c>
      <c r="D353" t="s">
        <v>1014</v>
      </c>
      <c r="E353" t="s">
        <v>1027</v>
      </c>
      <c r="F353" t="s">
        <v>1984</v>
      </c>
      <c r="G353" t="s">
        <v>1985</v>
      </c>
      <c r="H353" s="13">
        <v>5731760</v>
      </c>
      <c r="I353" s="14">
        <v>25437998.02</v>
      </c>
      <c r="J353" t="s">
        <v>1061</v>
      </c>
      <c r="K353" s="10">
        <v>4.45662</v>
      </c>
      <c r="W353" s="10">
        <v>4.4679085106382974</v>
      </c>
      <c r="X353" s="10">
        <v>4.4662671698113217</v>
      </c>
      <c r="Y353" s="10">
        <v>4.4624856097560954</v>
      </c>
      <c r="Z353" s="11" t="str">
        <f t="shared" si="5"/>
        <v/>
      </c>
    </row>
    <row r="354" spans="1:26" x14ac:dyDescent="0.3">
      <c r="A354" t="s">
        <v>353</v>
      </c>
      <c r="B354" t="s">
        <v>1986</v>
      </c>
      <c r="C354" t="s">
        <v>1987</v>
      </c>
      <c r="D354" t="s">
        <v>1014</v>
      </c>
      <c r="E354" t="s">
        <v>1019</v>
      </c>
      <c r="F354" t="s">
        <v>1639</v>
      </c>
      <c r="G354" t="s">
        <v>1640</v>
      </c>
      <c r="H354" s="13">
        <v>88212</v>
      </c>
      <c r="I354" s="14">
        <v>25415150.530000001</v>
      </c>
      <c r="J354" t="s">
        <v>1052</v>
      </c>
      <c r="K354" s="10">
        <v>292.98014000000001</v>
      </c>
      <c r="W354" s="10">
        <v>275.24162102564111</v>
      </c>
      <c r="X354" s="10">
        <v>285.00013245283009</v>
      </c>
      <c r="Y354" s="10">
        <v>289.80423024390251</v>
      </c>
      <c r="Z354" s="11" t="str">
        <f t="shared" si="5"/>
        <v/>
      </c>
    </row>
    <row r="355" spans="1:26" x14ac:dyDescent="0.3">
      <c r="A355" t="s">
        <v>354</v>
      </c>
      <c r="B355" t="s">
        <v>1988</v>
      </c>
      <c r="C355" t="s">
        <v>1989</v>
      </c>
      <c r="D355" t="s">
        <v>1014</v>
      </c>
      <c r="E355" t="s">
        <v>1019</v>
      </c>
      <c r="F355" t="s">
        <v>1990</v>
      </c>
      <c r="G355" t="s">
        <v>1991</v>
      </c>
      <c r="H355" s="13">
        <v>16086.64</v>
      </c>
      <c r="I355" s="14">
        <v>25380260.18</v>
      </c>
      <c r="J355" t="s">
        <v>1061</v>
      </c>
      <c r="K355" s="10">
        <v>1596.19346</v>
      </c>
      <c r="T355" s="10">
        <v>1355.659248846154</v>
      </c>
      <c r="U355" s="10">
        <v>1419.089347115384</v>
      </c>
      <c r="V355" s="10">
        <v>1461.9284819230761</v>
      </c>
      <c r="W355" s="10">
        <v>1511.5085730769231</v>
      </c>
      <c r="X355" s="10">
        <v>1551.1927245283021</v>
      </c>
      <c r="Y355" s="10">
        <v>1594.988078292683</v>
      </c>
      <c r="Z355" s="11" t="str">
        <f t="shared" si="5"/>
        <v/>
      </c>
    </row>
    <row r="356" spans="1:26" x14ac:dyDescent="0.3">
      <c r="A356" t="s">
        <v>355</v>
      </c>
      <c r="B356" t="s">
        <v>1992</v>
      </c>
      <c r="C356" t="s">
        <v>1993</v>
      </c>
      <c r="D356" t="s">
        <v>1014</v>
      </c>
      <c r="E356" t="s">
        <v>1027</v>
      </c>
      <c r="F356" t="s">
        <v>1755</v>
      </c>
      <c r="G356" t="s">
        <v>1821</v>
      </c>
      <c r="H356" s="13">
        <v>591359.5</v>
      </c>
      <c r="I356" s="14">
        <v>24937010.18</v>
      </c>
      <c r="J356" t="s">
        <v>1052</v>
      </c>
      <c r="K356" s="10">
        <v>44.426139999999997</v>
      </c>
      <c r="O356" s="10">
        <v>24.52669648648649</v>
      </c>
      <c r="P356" s="10">
        <v>26.63927692307692</v>
      </c>
      <c r="Q356" s="10">
        <v>29.266810192307709</v>
      </c>
      <c r="R356" s="10">
        <v>30.867118461538471</v>
      </c>
      <c r="S356" s="10">
        <v>32.363419433962271</v>
      </c>
      <c r="T356" s="10">
        <v>33.898151153846143</v>
      </c>
      <c r="U356" s="10">
        <v>35.857544615384597</v>
      </c>
      <c r="V356" s="10">
        <v>38.358401346153848</v>
      </c>
      <c r="W356" s="10">
        <v>40.599487884615399</v>
      </c>
      <c r="X356" s="10">
        <v>42.939944150943369</v>
      </c>
      <c r="Y356" s="10">
        <v>44.274130487804882</v>
      </c>
      <c r="Z356" s="11">
        <f t="shared" si="5"/>
        <v>0.39112254000000002</v>
      </c>
    </row>
    <row r="357" spans="1:26" x14ac:dyDescent="0.3">
      <c r="A357" t="s">
        <v>356</v>
      </c>
      <c r="B357" t="s">
        <v>1994</v>
      </c>
      <c r="C357" t="s">
        <v>1995</v>
      </c>
      <c r="D357" t="s">
        <v>1014</v>
      </c>
      <c r="E357" t="s">
        <v>1032</v>
      </c>
      <c r="F357" t="s">
        <v>1485</v>
      </c>
      <c r="G357" t="s">
        <v>1996</v>
      </c>
      <c r="H357" s="13">
        <v>1884632.5449999999</v>
      </c>
      <c r="I357" s="14">
        <v>24920125.07</v>
      </c>
      <c r="J357" t="s">
        <v>1061</v>
      </c>
      <c r="K357" s="10">
        <v>17.427129999999998</v>
      </c>
      <c r="S357" s="10">
        <v>11.491251509433971</v>
      </c>
      <c r="T357" s="10">
        <v>12.16252076923077</v>
      </c>
      <c r="U357" s="10">
        <v>12.63626576923077</v>
      </c>
      <c r="V357" s="10">
        <v>13.832254038461549</v>
      </c>
      <c r="W357" s="10">
        <v>15.086175192307699</v>
      </c>
      <c r="X357" s="10">
        <v>16.62495528301886</v>
      </c>
      <c r="Y357" s="10">
        <v>17.469882439024389</v>
      </c>
      <c r="Z357" s="11" t="str">
        <f t="shared" si="5"/>
        <v/>
      </c>
    </row>
    <row r="358" spans="1:26" x14ac:dyDescent="0.3">
      <c r="A358" t="s">
        <v>357</v>
      </c>
      <c r="B358" t="s">
        <v>1997</v>
      </c>
      <c r="C358" t="s">
        <v>1998</v>
      </c>
      <c r="D358" t="s">
        <v>1014</v>
      </c>
      <c r="E358" t="s">
        <v>1020</v>
      </c>
      <c r="F358" t="s">
        <v>1055</v>
      </c>
      <c r="G358" t="s">
        <v>1999</v>
      </c>
      <c r="H358" s="13">
        <v>5446.3450000000003</v>
      </c>
      <c r="I358" s="14">
        <v>24837599.600000001</v>
      </c>
      <c r="J358" t="s">
        <v>1052</v>
      </c>
      <c r="K358" s="10">
        <v>5437.3966700000001</v>
      </c>
      <c r="M358" s="10">
        <v>2472.8724681132089</v>
      </c>
      <c r="N358" s="10">
        <v>2783.6919599999992</v>
      </c>
      <c r="O358" s="10">
        <v>2972.012380384615</v>
      </c>
      <c r="P358" s="10">
        <v>3177.0812319230749</v>
      </c>
      <c r="Q358" s="10">
        <v>3531.3509753846188</v>
      </c>
      <c r="R358" s="10">
        <v>3752.284444230771</v>
      </c>
      <c r="S358" s="10">
        <v>4029.2380828301862</v>
      </c>
      <c r="T358" s="10">
        <v>4301.8141132692308</v>
      </c>
      <c r="U358" s="10">
        <v>4534.4991051923098</v>
      </c>
      <c r="V358" s="10">
        <v>4769.717753076925</v>
      </c>
      <c r="W358" s="10">
        <v>4985.4360061538446</v>
      </c>
      <c r="X358" s="10">
        <v>5204.5865775471684</v>
      </c>
      <c r="Y358" s="10">
        <v>5444.0136634146347</v>
      </c>
      <c r="Z358" s="11">
        <f t="shared" si="5"/>
        <v>0.38704479000000003</v>
      </c>
    </row>
    <row r="359" spans="1:26" x14ac:dyDescent="0.3">
      <c r="A359" t="s">
        <v>358</v>
      </c>
      <c r="B359" t="s">
        <v>2000</v>
      </c>
      <c r="C359" t="s">
        <v>2001</v>
      </c>
      <c r="D359" t="s">
        <v>1014</v>
      </c>
      <c r="E359" t="s">
        <v>1020</v>
      </c>
      <c r="F359" t="s">
        <v>1123</v>
      </c>
      <c r="G359" t="s">
        <v>2002</v>
      </c>
      <c r="H359" s="13">
        <v>13853.24</v>
      </c>
      <c r="I359" s="14">
        <v>24742704</v>
      </c>
      <c r="J359" t="s">
        <v>1061</v>
      </c>
      <c r="K359" s="10">
        <v>1841.2748799999999</v>
      </c>
      <c r="M359" s="10">
        <v>601.09342962264145</v>
      </c>
      <c r="N359" s="10">
        <v>777.20920923076903</v>
      </c>
      <c r="O359" s="10">
        <v>989.27569326923071</v>
      </c>
      <c r="P359" s="10">
        <v>1168.878271153847</v>
      </c>
      <c r="Q359" s="10">
        <v>1327.6685551923069</v>
      </c>
      <c r="R359" s="10">
        <v>1370.4431755769219</v>
      </c>
      <c r="S359" s="10">
        <v>1440.3556673584901</v>
      </c>
      <c r="T359" s="10">
        <v>1517.1666039215679</v>
      </c>
      <c r="U359" s="10">
        <v>1595.2349032692291</v>
      </c>
      <c r="V359" s="10">
        <v>1674.99665423077</v>
      </c>
      <c r="W359" s="10">
        <v>1727.552618076923</v>
      </c>
      <c r="X359" s="10">
        <v>1819.352889433962</v>
      </c>
      <c r="Y359" s="10">
        <v>1842.386098536585</v>
      </c>
      <c r="Z359" s="11">
        <f t="shared" si="5"/>
        <v>0.32756536000000003</v>
      </c>
    </row>
    <row r="360" spans="1:26" x14ac:dyDescent="0.3">
      <c r="A360" t="s">
        <v>359</v>
      </c>
      <c r="B360" t="s">
        <v>2003</v>
      </c>
      <c r="C360" t="s">
        <v>2004</v>
      </c>
      <c r="D360" t="s">
        <v>1014</v>
      </c>
      <c r="E360" t="s">
        <v>1027</v>
      </c>
      <c r="F360" t="s">
        <v>1382</v>
      </c>
      <c r="G360" t="s">
        <v>1383</v>
      </c>
      <c r="H360" s="13">
        <v>51125.769</v>
      </c>
      <c r="I360" s="14">
        <v>24571338.710000001</v>
      </c>
      <c r="J360" t="s">
        <v>1061</v>
      </c>
      <c r="K360" s="10">
        <v>508.50720999999999</v>
      </c>
      <c r="R360" s="10">
        <v>369.80818884615383</v>
      </c>
      <c r="S360" s="10">
        <v>385.64339679245302</v>
      </c>
      <c r="T360" s="10">
        <v>407.99197538461527</v>
      </c>
      <c r="U360" s="10">
        <v>428.88039211538432</v>
      </c>
      <c r="V360" s="10">
        <v>449.74182288461589</v>
      </c>
      <c r="W360" s="10">
        <v>470.75682288461508</v>
      </c>
      <c r="X360" s="10">
        <v>484.39632113207563</v>
      </c>
      <c r="Y360" s="10">
        <v>508.4830829268293</v>
      </c>
      <c r="Z360" s="11">
        <f t="shared" si="5"/>
        <v>0.30985828999999998</v>
      </c>
    </row>
    <row r="361" spans="1:26" x14ac:dyDescent="0.3">
      <c r="A361" t="s">
        <v>360</v>
      </c>
      <c r="B361" t="s">
        <v>2005</v>
      </c>
      <c r="C361" t="s">
        <v>2006</v>
      </c>
      <c r="D361" t="s">
        <v>1014</v>
      </c>
      <c r="E361" t="s">
        <v>1030</v>
      </c>
      <c r="F361" t="s">
        <v>2007</v>
      </c>
      <c r="G361" t="s">
        <v>2008</v>
      </c>
      <c r="H361" s="13">
        <v>2365902</v>
      </c>
      <c r="I361" s="14">
        <v>24552644.41</v>
      </c>
      <c r="J361" t="s">
        <v>1052</v>
      </c>
      <c r="K361" s="10">
        <v>10.54312</v>
      </c>
      <c r="M361" s="10">
        <v>6.8020041509433984</v>
      </c>
      <c r="N361" s="10">
        <v>6.8408009615384664</v>
      </c>
      <c r="O361" s="10">
        <v>7.1099588461538499</v>
      </c>
      <c r="P361" s="10">
        <v>7.5212898076923036</v>
      </c>
      <c r="Q361" s="10">
        <v>7.9606046153846108</v>
      </c>
      <c r="R361" s="10">
        <v>8.2939286538461587</v>
      </c>
      <c r="S361" s="10">
        <v>8.5162556603773556</v>
      </c>
      <c r="T361" s="10">
        <v>8.7698063461538442</v>
      </c>
      <c r="U361" s="10">
        <v>9.0235400000000094</v>
      </c>
      <c r="V361" s="10">
        <v>9.3859998076923041</v>
      </c>
      <c r="W361" s="10">
        <v>9.7815261538461513</v>
      </c>
      <c r="X361" s="10">
        <v>10.16558490566038</v>
      </c>
      <c r="Y361" s="10">
        <v>10.552845609756099</v>
      </c>
      <c r="Z361" s="11">
        <f t="shared" si="5"/>
        <v>0.22566581999999999</v>
      </c>
    </row>
    <row r="362" spans="1:26" x14ac:dyDescent="0.3">
      <c r="A362" t="s">
        <v>361</v>
      </c>
      <c r="B362" t="s">
        <v>2009</v>
      </c>
      <c r="C362" t="s">
        <v>2010</v>
      </c>
      <c r="D362" t="s">
        <v>1015</v>
      </c>
      <c r="E362" t="s">
        <v>1032</v>
      </c>
      <c r="F362" t="s">
        <v>1106</v>
      </c>
      <c r="G362" t="s">
        <v>1766</v>
      </c>
      <c r="H362" s="13">
        <v>1665192.2</v>
      </c>
      <c r="I362" s="14">
        <v>24461569.789999999</v>
      </c>
      <c r="J362" t="s">
        <v>1163</v>
      </c>
      <c r="K362" s="10">
        <v>15.66845</v>
      </c>
      <c r="S362" s="10">
        <v>20.58267833333333</v>
      </c>
      <c r="T362" s="10">
        <v>20.419941923076919</v>
      </c>
      <c r="U362" s="10">
        <v>20.28672730769231</v>
      </c>
      <c r="V362" s="10">
        <v>19.892880384615399</v>
      </c>
      <c r="W362" s="10">
        <v>16.8807498076923</v>
      </c>
      <c r="X362" s="10">
        <v>16.53685716981132</v>
      </c>
      <c r="Y362" s="10">
        <v>16.972823170731711</v>
      </c>
      <c r="Z362" s="11" t="str">
        <f t="shared" si="5"/>
        <v/>
      </c>
    </row>
    <row r="363" spans="1:26" x14ac:dyDescent="0.3">
      <c r="A363" t="s">
        <v>362</v>
      </c>
      <c r="B363" t="s">
        <v>2011</v>
      </c>
      <c r="C363" t="s">
        <v>2012</v>
      </c>
      <c r="D363" t="s">
        <v>1014</v>
      </c>
      <c r="E363" t="s">
        <v>1027</v>
      </c>
      <c r="F363" t="s">
        <v>1131</v>
      </c>
      <c r="G363" t="s">
        <v>1360</v>
      </c>
      <c r="H363" s="13">
        <v>14092.951999999999</v>
      </c>
      <c r="I363" s="14">
        <v>24364223.510000002</v>
      </c>
      <c r="J363" t="s">
        <v>1061</v>
      </c>
      <c r="K363" s="10">
        <v>1785.2268899999999</v>
      </c>
      <c r="W363" s="10">
        <v>1683.314810540541</v>
      </c>
      <c r="X363" s="10">
        <v>1733.385963584906</v>
      </c>
      <c r="Y363" s="10">
        <v>1776.7544580487811</v>
      </c>
      <c r="Z363" s="11" t="str">
        <f t="shared" si="5"/>
        <v/>
      </c>
    </row>
    <row r="364" spans="1:26" x14ac:dyDescent="0.3">
      <c r="A364" t="s">
        <v>363</v>
      </c>
      <c r="B364" t="s">
        <v>2013</v>
      </c>
      <c r="C364" t="s">
        <v>2014</v>
      </c>
      <c r="D364" t="s">
        <v>1014</v>
      </c>
      <c r="E364" t="s">
        <v>1019</v>
      </c>
      <c r="F364" t="s">
        <v>1305</v>
      </c>
      <c r="G364" t="s">
        <v>1636</v>
      </c>
      <c r="H364" s="13">
        <v>2088666</v>
      </c>
      <c r="I364" s="14">
        <v>24297307.609999999</v>
      </c>
      <c r="J364" t="s">
        <v>1052</v>
      </c>
      <c r="K364" s="10">
        <v>11.43622</v>
      </c>
      <c r="R364" s="10">
        <v>9.0022380769230761</v>
      </c>
      <c r="S364" s="10">
        <v>9.4524558490566033</v>
      </c>
      <c r="T364" s="10">
        <v>9.8982150000000004</v>
      </c>
      <c r="U364" s="10">
        <v>10.372793846153851</v>
      </c>
      <c r="V364" s="10">
        <v>10.88734903846154</v>
      </c>
      <c r="W364" s="10">
        <v>11.429093461538461</v>
      </c>
      <c r="X364" s="10">
        <v>11.430665471698109</v>
      </c>
      <c r="Y364" s="10">
        <v>11.42764341463414</v>
      </c>
      <c r="Z364" s="11">
        <f t="shared" si="5"/>
        <v>0.26975818000000001</v>
      </c>
    </row>
    <row r="365" spans="1:26" x14ac:dyDescent="0.3">
      <c r="A365" t="s">
        <v>364</v>
      </c>
      <c r="B365" t="s">
        <v>2015</v>
      </c>
      <c r="C365" t="s">
        <v>2016</v>
      </c>
      <c r="D365" t="s">
        <v>1014</v>
      </c>
      <c r="E365" t="s">
        <v>1025</v>
      </c>
      <c r="F365" t="s">
        <v>1096</v>
      </c>
      <c r="G365" t="s">
        <v>1097</v>
      </c>
      <c r="H365" s="13">
        <v>3305</v>
      </c>
      <c r="I365" s="14">
        <v>24252135.59</v>
      </c>
      <c r="J365" t="s">
        <v>1061</v>
      </c>
      <c r="K365" s="10">
        <v>7879.8111099999996</v>
      </c>
      <c r="X365" s="10">
        <v>7398.9845618867976</v>
      </c>
      <c r="Y365" s="10">
        <v>7895.2513817073177</v>
      </c>
      <c r="Z365" s="11" t="str">
        <f t="shared" si="5"/>
        <v/>
      </c>
    </row>
    <row r="366" spans="1:26" x14ac:dyDescent="0.3">
      <c r="A366" t="s">
        <v>365</v>
      </c>
      <c r="B366" t="s">
        <v>2017</v>
      </c>
      <c r="C366" t="s">
        <v>2018</v>
      </c>
      <c r="D366" t="s">
        <v>1014</v>
      </c>
      <c r="E366" t="s">
        <v>1027</v>
      </c>
      <c r="F366" t="s">
        <v>2019</v>
      </c>
      <c r="G366" t="s">
        <v>2020</v>
      </c>
      <c r="H366" s="13">
        <v>11709</v>
      </c>
      <c r="I366" s="14">
        <v>24200886.030000001</v>
      </c>
      <c r="J366" t="s">
        <v>1052</v>
      </c>
      <c r="K366" s="10">
        <v>8772.0249999999996</v>
      </c>
      <c r="N366" s="10">
        <v>5028.2538719444437</v>
      </c>
      <c r="O366" s="10">
        <v>5468.4487617307641</v>
      </c>
      <c r="P366" s="10">
        <v>6025.0698105769216</v>
      </c>
      <c r="Q366" s="10">
        <v>6550.6453096153837</v>
      </c>
      <c r="R366" s="10">
        <v>6677.6487246153829</v>
      </c>
      <c r="S366" s="10">
        <v>6853.1504716981126</v>
      </c>
      <c r="T366" s="10">
        <v>6992.7517211538407</v>
      </c>
      <c r="U366" s="10">
        <v>7255.4801034615393</v>
      </c>
      <c r="V366" s="10">
        <v>7679.824447115383</v>
      </c>
      <c r="W366" s="10">
        <v>8023.6554192307694</v>
      </c>
      <c r="X366" s="10">
        <v>8386.8369537735762</v>
      </c>
      <c r="Y366" s="10">
        <v>8811.1135609756129</v>
      </c>
      <c r="Z366" s="11">
        <f t="shared" si="5"/>
        <v>0.25595658999999998</v>
      </c>
    </row>
    <row r="367" spans="1:26" x14ac:dyDescent="0.3">
      <c r="A367" t="s">
        <v>366</v>
      </c>
      <c r="B367" t="s">
        <v>2021</v>
      </c>
      <c r="C367" t="s">
        <v>2022</v>
      </c>
      <c r="D367" t="s">
        <v>1014</v>
      </c>
      <c r="E367" t="s">
        <v>1020</v>
      </c>
      <c r="F367" t="s">
        <v>2023</v>
      </c>
      <c r="G367" t="s">
        <v>2024</v>
      </c>
      <c r="H367" s="13">
        <v>334851.685</v>
      </c>
      <c r="I367" s="14">
        <v>24094005.16</v>
      </c>
      <c r="J367" t="s">
        <v>1052</v>
      </c>
      <c r="K367" s="10">
        <v>66.953479999999999</v>
      </c>
      <c r="U367" s="10">
        <v>57.805151538461537</v>
      </c>
      <c r="V367" s="10">
        <v>62.72041346153847</v>
      </c>
      <c r="W367" s="10">
        <v>65.298204230769258</v>
      </c>
      <c r="X367" s="10">
        <v>65.370986981132091</v>
      </c>
      <c r="Y367" s="10">
        <v>67.01706146341462</v>
      </c>
      <c r="Z367" s="11" t="str">
        <f t="shared" si="5"/>
        <v/>
      </c>
    </row>
    <row r="368" spans="1:26" x14ac:dyDescent="0.3">
      <c r="A368" t="s">
        <v>367</v>
      </c>
      <c r="B368" t="s">
        <v>2025</v>
      </c>
      <c r="C368" t="s">
        <v>2026</v>
      </c>
      <c r="D368" t="s">
        <v>1014</v>
      </c>
      <c r="E368" t="s">
        <v>1021</v>
      </c>
      <c r="F368" t="s">
        <v>2027</v>
      </c>
      <c r="G368" t="s">
        <v>2028</v>
      </c>
      <c r="H368" s="13">
        <v>1268947.5</v>
      </c>
      <c r="I368" s="14">
        <v>24073508.170000002</v>
      </c>
      <c r="J368" t="s">
        <v>1052</v>
      </c>
      <c r="K368" s="10">
        <v>10.38279</v>
      </c>
      <c r="S368" s="10">
        <v>8.1296923809523776</v>
      </c>
      <c r="T368" s="10">
        <v>8.3592707692307648</v>
      </c>
      <c r="U368" s="10">
        <v>8.8041173076923034</v>
      </c>
      <c r="V368" s="10">
        <v>8.9405498076923102</v>
      </c>
      <c r="W368" s="10">
        <v>9.3762519230769303</v>
      </c>
      <c r="X368" s="10">
        <v>10.041975471698111</v>
      </c>
      <c r="Y368" s="10">
        <v>10.35109536585367</v>
      </c>
      <c r="Z368" s="11" t="str">
        <f t="shared" si="5"/>
        <v/>
      </c>
    </row>
    <row r="369" spans="1:26" x14ac:dyDescent="0.3">
      <c r="A369" t="s">
        <v>368</v>
      </c>
      <c r="B369" t="s">
        <v>2029</v>
      </c>
      <c r="C369" t="s">
        <v>2030</v>
      </c>
      <c r="D369" t="s">
        <v>1014</v>
      </c>
      <c r="E369" t="s">
        <v>1027</v>
      </c>
      <c r="F369" t="s">
        <v>1241</v>
      </c>
      <c r="G369" t="s">
        <v>1403</v>
      </c>
      <c r="H369" s="13">
        <v>1026955</v>
      </c>
      <c r="I369" s="14">
        <v>24053865.5</v>
      </c>
      <c r="J369" t="s">
        <v>1052</v>
      </c>
      <c r="K369" s="10">
        <v>24.05799</v>
      </c>
      <c r="S369" s="10">
        <v>18.774609999999999</v>
      </c>
      <c r="T369" s="10">
        <v>19.373564615384609</v>
      </c>
      <c r="U369" s="10">
        <v>20.818785961538449</v>
      </c>
      <c r="V369" s="10">
        <v>22.061802115384602</v>
      </c>
      <c r="W369" s="10">
        <v>23.043164615384629</v>
      </c>
      <c r="X369" s="10">
        <v>23.490302830188678</v>
      </c>
      <c r="Y369" s="10">
        <v>24.061309268292689</v>
      </c>
      <c r="Z369" s="11" t="str">
        <f t="shared" si="5"/>
        <v/>
      </c>
    </row>
    <row r="370" spans="1:26" x14ac:dyDescent="0.3">
      <c r="A370" t="s">
        <v>369</v>
      </c>
      <c r="B370" t="s">
        <v>2031</v>
      </c>
      <c r="C370" t="s">
        <v>2032</v>
      </c>
      <c r="D370" t="s">
        <v>1014</v>
      </c>
      <c r="E370" t="s">
        <v>1705</v>
      </c>
      <c r="F370" t="s">
        <v>1074</v>
      </c>
      <c r="G370" t="s">
        <v>2033</v>
      </c>
      <c r="H370" s="13">
        <v>821128</v>
      </c>
      <c r="I370" s="14">
        <v>24000914.550000001</v>
      </c>
      <c r="J370" t="s">
        <v>1052</v>
      </c>
      <c r="K370" s="10">
        <v>30.131930000000001</v>
      </c>
      <c r="X370" s="10">
        <v>29.681632142857151</v>
      </c>
      <c r="Y370" s="10">
        <v>30.203337073170729</v>
      </c>
      <c r="Z370" s="11" t="str">
        <f t="shared" si="5"/>
        <v/>
      </c>
    </row>
    <row r="371" spans="1:26" x14ac:dyDescent="0.3">
      <c r="A371" t="s">
        <v>370</v>
      </c>
      <c r="B371" t="s">
        <v>2034</v>
      </c>
      <c r="C371" t="s">
        <v>2035</v>
      </c>
      <c r="D371" t="s">
        <v>1015</v>
      </c>
      <c r="E371" t="s">
        <v>1032</v>
      </c>
      <c r="F371" t="s">
        <v>1610</v>
      </c>
      <c r="G371" t="s">
        <v>2036</v>
      </c>
      <c r="H371" s="13">
        <v>1986555</v>
      </c>
      <c r="I371" s="14">
        <v>23950558.280000001</v>
      </c>
      <c r="J371" t="s">
        <v>1052</v>
      </c>
      <c r="K371" s="10">
        <v>11.810930000000001</v>
      </c>
      <c r="W371" s="10">
        <v>12.71091480769231</v>
      </c>
      <c r="X371" s="10">
        <v>12.42308867924528</v>
      </c>
      <c r="Y371" s="10">
        <v>11.762187073170731</v>
      </c>
      <c r="Z371" s="11" t="str">
        <f t="shared" si="5"/>
        <v/>
      </c>
    </row>
    <row r="372" spans="1:26" x14ac:dyDescent="0.3">
      <c r="A372" t="s">
        <v>371</v>
      </c>
      <c r="B372" t="s">
        <v>2037</v>
      </c>
      <c r="C372" t="s">
        <v>2038</v>
      </c>
      <c r="D372" t="s">
        <v>1015</v>
      </c>
      <c r="E372" t="s">
        <v>1022</v>
      </c>
      <c r="F372" t="s">
        <v>2039</v>
      </c>
      <c r="G372" t="s">
        <v>2040</v>
      </c>
      <c r="H372" s="13">
        <v>38735574.07</v>
      </c>
      <c r="I372" s="14">
        <v>23839696.129999999</v>
      </c>
      <c r="J372" t="s">
        <v>1052</v>
      </c>
      <c r="K372" s="10">
        <v>0.11992</v>
      </c>
      <c r="M372" s="10">
        <v>0.63491207547169792</v>
      </c>
      <c r="N372" s="10">
        <v>0.56180365384615383</v>
      </c>
      <c r="O372" s="10">
        <v>0.40864173076923072</v>
      </c>
      <c r="P372" s="10">
        <v>0.33845442307692308</v>
      </c>
      <c r="Q372" s="10">
        <v>0.29632461538461541</v>
      </c>
      <c r="R372" s="10">
        <v>0.25899096153846152</v>
      </c>
      <c r="S372" s="10">
        <v>0.25855075471698108</v>
      </c>
      <c r="T372" s="10">
        <v>0.2326975</v>
      </c>
      <c r="U372" s="10">
        <v>0.2245242307692307</v>
      </c>
      <c r="V372" s="10">
        <v>0.18892596153846161</v>
      </c>
      <c r="W372" s="10">
        <v>0.17546673076923081</v>
      </c>
      <c r="X372" s="10">
        <v>0.16603264150943389</v>
      </c>
      <c r="Y372" s="10">
        <v>0.13684512195121951</v>
      </c>
      <c r="Z372" s="11">
        <f t="shared" si="5"/>
        <v>-0.35892496000000002</v>
      </c>
    </row>
    <row r="373" spans="1:26" x14ac:dyDescent="0.3">
      <c r="A373" t="s">
        <v>372</v>
      </c>
      <c r="B373" t="s">
        <v>2041</v>
      </c>
      <c r="C373" t="s">
        <v>2042</v>
      </c>
      <c r="D373" t="s">
        <v>1015</v>
      </c>
      <c r="E373" t="s">
        <v>1032</v>
      </c>
      <c r="F373" t="s">
        <v>2043</v>
      </c>
      <c r="G373" t="s">
        <v>2044</v>
      </c>
      <c r="H373" s="13">
        <v>1965224.8</v>
      </c>
      <c r="I373" s="14">
        <v>23823669.460000001</v>
      </c>
      <c r="J373" t="s">
        <v>1061</v>
      </c>
      <c r="K373" s="10">
        <v>7.1238299999999999</v>
      </c>
      <c r="T373" s="10">
        <v>19.937064615384621</v>
      </c>
      <c r="U373" s="10">
        <v>18.900936346153841</v>
      </c>
      <c r="V373" s="10">
        <v>18.121123846153861</v>
      </c>
      <c r="W373" s="10">
        <v>14.81081615384616</v>
      </c>
      <c r="X373" s="10">
        <v>11.20763679245283</v>
      </c>
      <c r="Y373" s="10">
        <v>7.7088799999999997</v>
      </c>
      <c r="Z373" s="11" t="str">
        <f t="shared" si="5"/>
        <v/>
      </c>
    </row>
    <row r="374" spans="1:26" x14ac:dyDescent="0.3">
      <c r="A374" t="s">
        <v>373</v>
      </c>
      <c r="B374" t="s">
        <v>2045</v>
      </c>
      <c r="C374" t="s">
        <v>2046</v>
      </c>
      <c r="D374" t="s">
        <v>1014</v>
      </c>
      <c r="E374" t="s">
        <v>1027</v>
      </c>
      <c r="F374" t="s">
        <v>1181</v>
      </c>
      <c r="G374" t="s">
        <v>1348</v>
      </c>
      <c r="H374" s="13">
        <v>25229.659</v>
      </c>
      <c r="I374" s="14">
        <v>23539371.5</v>
      </c>
      <c r="J374" t="s">
        <v>1061</v>
      </c>
      <c r="K374" s="10">
        <v>1007.58949</v>
      </c>
      <c r="P374" s="10">
        <v>676.52763341463458</v>
      </c>
      <c r="Q374" s="10">
        <v>711.76060730769257</v>
      </c>
      <c r="R374" s="10">
        <v>764.12877461538471</v>
      </c>
      <c r="S374" s="10">
        <v>804.15232792452832</v>
      </c>
      <c r="T374" s="10">
        <v>840.83393788461524</v>
      </c>
      <c r="U374" s="10">
        <v>863.85329846153843</v>
      </c>
      <c r="V374" s="10">
        <v>896.80529038461441</v>
      </c>
      <c r="W374" s="10">
        <v>918.51589096153839</v>
      </c>
      <c r="X374" s="10">
        <v>941.78872358490628</v>
      </c>
      <c r="Y374" s="10">
        <v>996.52013634146329</v>
      </c>
      <c r="Z374" s="11">
        <f t="shared" si="5"/>
        <v>0.23250001000000001</v>
      </c>
    </row>
    <row r="375" spans="1:26" x14ac:dyDescent="0.3">
      <c r="A375" t="s">
        <v>374</v>
      </c>
      <c r="B375" t="s">
        <v>2047</v>
      </c>
      <c r="C375" t="s">
        <v>2048</v>
      </c>
      <c r="D375" t="s">
        <v>1015</v>
      </c>
      <c r="E375" t="s">
        <v>1020</v>
      </c>
      <c r="F375" t="s">
        <v>2049</v>
      </c>
      <c r="G375" t="s">
        <v>1794</v>
      </c>
      <c r="H375" s="13">
        <v>835893.72499999998</v>
      </c>
      <c r="I375" s="14">
        <v>23306304.859999999</v>
      </c>
      <c r="J375" t="s">
        <v>1052</v>
      </c>
      <c r="K375" s="10">
        <v>31.907920000000001</v>
      </c>
      <c r="V375" s="10">
        <v>35.660134999999997</v>
      </c>
      <c r="W375" s="10">
        <v>31.54353826923078</v>
      </c>
      <c r="X375" s="10">
        <v>28.592005094339619</v>
      </c>
      <c r="Y375" s="10">
        <v>32.093980487804878</v>
      </c>
      <c r="Z375" s="11" t="str">
        <f t="shared" si="5"/>
        <v/>
      </c>
    </row>
    <row r="376" spans="1:26" x14ac:dyDescent="0.3">
      <c r="A376" t="s">
        <v>375</v>
      </c>
      <c r="B376" t="s">
        <v>2050</v>
      </c>
      <c r="C376" t="s">
        <v>2051</v>
      </c>
      <c r="D376" t="s">
        <v>1015</v>
      </c>
      <c r="E376" t="s">
        <v>1020</v>
      </c>
      <c r="F376" t="s">
        <v>2052</v>
      </c>
      <c r="G376" t="s">
        <v>1794</v>
      </c>
      <c r="H376" s="13">
        <v>804375.16799999995</v>
      </c>
      <c r="I376" s="14">
        <v>23113359.68</v>
      </c>
      <c r="J376" t="s">
        <v>1052</v>
      </c>
      <c r="K376" s="10">
        <v>33.289450000000002</v>
      </c>
      <c r="W376" s="10">
        <v>32.281312432432429</v>
      </c>
      <c r="X376" s="10">
        <v>37.018193584905667</v>
      </c>
      <c r="Y376" s="10">
        <v>35.360537804878042</v>
      </c>
      <c r="Z376" s="11" t="str">
        <f t="shared" si="5"/>
        <v/>
      </c>
    </row>
    <row r="377" spans="1:26" x14ac:dyDescent="0.3">
      <c r="A377" t="s">
        <v>376</v>
      </c>
      <c r="B377" t="s">
        <v>2053</v>
      </c>
      <c r="C377" t="s">
        <v>2054</v>
      </c>
      <c r="D377" t="s">
        <v>1014</v>
      </c>
      <c r="E377" t="s">
        <v>1023</v>
      </c>
      <c r="F377" t="s">
        <v>1305</v>
      </c>
      <c r="G377" t="s">
        <v>2055</v>
      </c>
      <c r="H377" s="13">
        <v>389034</v>
      </c>
      <c r="I377" s="14">
        <v>23085620.399999999</v>
      </c>
      <c r="J377" t="s">
        <v>1052</v>
      </c>
      <c r="K377" s="10">
        <v>60.78687</v>
      </c>
      <c r="S377" s="10">
        <v>46.690073396226431</v>
      </c>
      <c r="T377" s="10">
        <v>49.079642692307637</v>
      </c>
      <c r="U377" s="10">
        <v>51.701999807692339</v>
      </c>
      <c r="V377" s="10">
        <v>54.235241923076877</v>
      </c>
      <c r="W377" s="10">
        <v>56.810685384615411</v>
      </c>
      <c r="X377" s="10">
        <v>59.34250849056604</v>
      </c>
      <c r="Y377" s="10">
        <v>60.813422195121937</v>
      </c>
      <c r="Z377" s="11" t="str">
        <f t="shared" si="5"/>
        <v/>
      </c>
    </row>
    <row r="378" spans="1:26" x14ac:dyDescent="0.3">
      <c r="A378" t="s">
        <v>377</v>
      </c>
      <c r="B378" t="s">
        <v>2056</v>
      </c>
      <c r="C378" t="s">
        <v>2057</v>
      </c>
      <c r="D378" t="s">
        <v>1014</v>
      </c>
      <c r="E378" t="s">
        <v>1027</v>
      </c>
      <c r="F378" t="s">
        <v>1815</v>
      </c>
      <c r="G378" t="s">
        <v>1816</v>
      </c>
      <c r="H378" s="13">
        <v>6431706</v>
      </c>
      <c r="I378" s="14">
        <v>22870665.870000001</v>
      </c>
      <c r="J378" t="s">
        <v>1061</v>
      </c>
      <c r="K378" s="10">
        <v>3.64872</v>
      </c>
      <c r="M378" s="10">
        <v>1.628443396226414</v>
      </c>
      <c r="N378" s="10">
        <v>1.9824211538461549</v>
      </c>
      <c r="O378" s="10">
        <v>2.4031696153846158</v>
      </c>
      <c r="P378" s="10">
        <v>2.7594386538461562</v>
      </c>
      <c r="Q378" s="10">
        <v>3.082518846153846</v>
      </c>
      <c r="R378" s="10">
        <v>3.296614038461537</v>
      </c>
      <c r="S378" s="10">
        <v>3.49590641509434</v>
      </c>
      <c r="T378" s="10">
        <v>3.6438632692307711</v>
      </c>
      <c r="U378" s="10">
        <v>3.7082115384615379</v>
      </c>
      <c r="V378" s="10">
        <v>3.6685492307692349</v>
      </c>
      <c r="W378" s="10">
        <v>3.656270000000001</v>
      </c>
      <c r="X378" s="10">
        <v>3.6549533962264169</v>
      </c>
      <c r="Y378" s="10">
        <v>3.6481007317073169</v>
      </c>
      <c r="Z378" s="11">
        <f t="shared" si="5"/>
        <v>0.10869921</v>
      </c>
    </row>
    <row r="379" spans="1:26" x14ac:dyDescent="0.3">
      <c r="A379" t="s">
        <v>378</v>
      </c>
      <c r="B379" t="s">
        <v>2058</v>
      </c>
      <c r="C379" t="s">
        <v>2059</v>
      </c>
      <c r="D379" t="s">
        <v>1015</v>
      </c>
      <c r="E379" t="s">
        <v>1030</v>
      </c>
      <c r="F379" t="s">
        <v>1885</v>
      </c>
      <c r="G379" t="s">
        <v>1938</v>
      </c>
      <c r="H379" s="13">
        <v>1399025</v>
      </c>
      <c r="I379" s="14">
        <v>22841096.289999999</v>
      </c>
      <c r="J379" t="s">
        <v>1052</v>
      </c>
      <c r="K379" s="10">
        <v>4.56677</v>
      </c>
      <c r="X379" s="10">
        <v>12.42528458333333</v>
      </c>
      <c r="Y379" s="10">
        <v>4.4930756097560964</v>
      </c>
      <c r="Z379" s="11" t="str">
        <f t="shared" si="5"/>
        <v/>
      </c>
    </row>
    <row r="380" spans="1:26" x14ac:dyDescent="0.3">
      <c r="A380" t="s">
        <v>379</v>
      </c>
      <c r="B380" t="s">
        <v>2060</v>
      </c>
      <c r="C380" t="s">
        <v>2061</v>
      </c>
      <c r="D380" t="s">
        <v>1015</v>
      </c>
      <c r="E380" t="s">
        <v>1018</v>
      </c>
      <c r="F380" t="s">
        <v>2062</v>
      </c>
      <c r="G380" t="s">
        <v>2063</v>
      </c>
      <c r="H380" s="13">
        <v>102500150.154</v>
      </c>
      <c r="I380" s="14">
        <v>22767731.960000001</v>
      </c>
      <c r="J380" t="s">
        <v>1052</v>
      </c>
      <c r="K380" s="10">
        <v>1.418E-2</v>
      </c>
      <c r="R380" s="10">
        <v>1.443317073170732E-2</v>
      </c>
      <c r="S380" s="10">
        <v>1.4566603773584911E-2</v>
      </c>
      <c r="T380" s="10">
        <v>1.4605576923076921E-2</v>
      </c>
      <c r="U380" s="10">
        <v>1.481211538461538E-2</v>
      </c>
      <c r="V380" s="10">
        <v>1.522019230769229E-2</v>
      </c>
      <c r="W380" s="10">
        <v>1.3686923076923079E-2</v>
      </c>
      <c r="X380" s="10">
        <v>1.465301886792454E-2</v>
      </c>
      <c r="Y380" s="10">
        <v>1.442829268292683E-2</v>
      </c>
      <c r="Z380" s="11">
        <f t="shared" si="5"/>
        <v>1.523214E-2</v>
      </c>
    </row>
    <row r="381" spans="1:26" x14ac:dyDescent="0.3">
      <c r="A381" t="s">
        <v>380</v>
      </c>
      <c r="B381" t="s">
        <v>2064</v>
      </c>
      <c r="C381" t="s">
        <v>2065</v>
      </c>
      <c r="D381" t="s">
        <v>1014</v>
      </c>
      <c r="E381" t="s">
        <v>1027</v>
      </c>
      <c r="F381" t="s">
        <v>1123</v>
      </c>
      <c r="G381" t="s">
        <v>1285</v>
      </c>
      <c r="H381" s="13">
        <v>31892</v>
      </c>
      <c r="I381" s="14">
        <v>22763934.440000001</v>
      </c>
      <c r="J381" t="s">
        <v>1061</v>
      </c>
      <c r="K381" s="10">
        <v>734.42083000000002</v>
      </c>
      <c r="R381" s="10">
        <v>556.35555625000018</v>
      </c>
      <c r="S381" s="10">
        <v>578.62546396226412</v>
      </c>
      <c r="T381" s="10">
        <v>607.19887596153865</v>
      </c>
      <c r="U381" s="10">
        <v>630.15460153846118</v>
      </c>
      <c r="V381" s="10">
        <v>655.7477623076926</v>
      </c>
      <c r="W381" s="10">
        <v>681.59543173076906</v>
      </c>
      <c r="X381" s="10">
        <v>713.57029716981117</v>
      </c>
      <c r="Y381" s="10">
        <v>734.02832536585379</v>
      </c>
      <c r="Z381" s="11">
        <f t="shared" si="5"/>
        <v>0.28257961999999998</v>
      </c>
    </row>
    <row r="382" spans="1:26" x14ac:dyDescent="0.3">
      <c r="A382" t="s">
        <v>381</v>
      </c>
      <c r="B382" t="s">
        <v>2066</v>
      </c>
      <c r="C382" t="s">
        <v>2067</v>
      </c>
      <c r="D382" t="s">
        <v>1014</v>
      </c>
      <c r="E382" t="s">
        <v>1019</v>
      </c>
      <c r="F382" t="s">
        <v>1305</v>
      </c>
      <c r="G382" t="s">
        <v>1306</v>
      </c>
      <c r="H382" s="13">
        <v>2059347</v>
      </c>
      <c r="I382" s="14">
        <v>22647344.489999998</v>
      </c>
      <c r="J382" t="s">
        <v>1052</v>
      </c>
      <c r="K382" s="10">
        <v>10.54364</v>
      </c>
      <c r="M382" s="10">
        <v>9.5032333962264204</v>
      </c>
      <c r="N382" s="10">
        <v>10.913166538461541</v>
      </c>
      <c r="O382" s="10">
        <v>11.77001192307692</v>
      </c>
      <c r="P382" s="10">
        <v>12.48119692307692</v>
      </c>
      <c r="Q382" s="10">
        <v>13.68451192307692</v>
      </c>
      <c r="R382" s="10">
        <v>14.42457461538463</v>
      </c>
      <c r="S382" s="10">
        <v>15.11139339622641</v>
      </c>
      <c r="T382" s="10">
        <v>15.860440961538449</v>
      </c>
      <c r="U382" s="10">
        <v>16.648409807692321</v>
      </c>
      <c r="V382" s="10">
        <v>17.460167499999979</v>
      </c>
      <c r="W382" s="10">
        <v>18.30385076923076</v>
      </c>
      <c r="X382" s="10">
        <v>10.551277358490569</v>
      </c>
      <c r="Y382" s="10">
        <v>10.546358292682919</v>
      </c>
      <c r="Z382" s="11">
        <f t="shared" si="5"/>
        <v>-0.26852072999999999</v>
      </c>
    </row>
    <row r="383" spans="1:26" x14ac:dyDescent="0.3">
      <c r="A383" t="s">
        <v>382</v>
      </c>
      <c r="B383" t="s">
        <v>2068</v>
      </c>
      <c r="C383" t="s">
        <v>2069</v>
      </c>
      <c r="D383" t="s">
        <v>1014</v>
      </c>
      <c r="E383" t="s">
        <v>1022</v>
      </c>
      <c r="F383" t="s">
        <v>1511</v>
      </c>
      <c r="G383" t="s">
        <v>1512</v>
      </c>
      <c r="H383" s="13">
        <v>2295495</v>
      </c>
      <c r="I383" s="14">
        <v>22591879.960000001</v>
      </c>
      <c r="J383" t="s">
        <v>1052</v>
      </c>
      <c r="K383" s="10">
        <v>10.146190000000001</v>
      </c>
      <c r="T383" s="10">
        <v>8.7685781249999977</v>
      </c>
      <c r="U383" s="10">
        <v>8.8777330769230787</v>
      </c>
      <c r="V383" s="10">
        <v>9.2399684615384512</v>
      </c>
      <c r="W383" s="10">
        <v>9.5289673076923105</v>
      </c>
      <c r="X383" s="10">
        <v>9.7759615094339587</v>
      </c>
      <c r="Y383" s="10">
        <v>10.149034878048781</v>
      </c>
      <c r="Z383" s="11" t="str">
        <f t="shared" si="5"/>
        <v/>
      </c>
    </row>
    <row r="384" spans="1:26" x14ac:dyDescent="0.3">
      <c r="A384" t="s">
        <v>383</v>
      </c>
      <c r="B384" t="s">
        <v>2070</v>
      </c>
      <c r="C384" t="s">
        <v>2071</v>
      </c>
      <c r="D384" t="s">
        <v>1015</v>
      </c>
      <c r="E384" t="s">
        <v>1019</v>
      </c>
      <c r="F384" t="s">
        <v>1363</v>
      </c>
      <c r="G384" t="s">
        <v>1476</v>
      </c>
      <c r="H384" s="13">
        <v>1593528</v>
      </c>
      <c r="I384" s="14">
        <v>22586542.739999998</v>
      </c>
      <c r="J384" t="s">
        <v>1052</v>
      </c>
      <c r="K384" s="10">
        <v>0.16272</v>
      </c>
      <c r="W384" s="10">
        <v>11.428377027027031</v>
      </c>
      <c r="X384" s="10">
        <v>11.468151320754719</v>
      </c>
      <c r="Y384" s="10">
        <v>5.9545424390243893</v>
      </c>
      <c r="Z384" s="11" t="str">
        <f t="shared" si="5"/>
        <v/>
      </c>
    </row>
    <row r="385" spans="1:26" x14ac:dyDescent="0.3">
      <c r="A385" t="s">
        <v>384</v>
      </c>
      <c r="B385" t="s">
        <v>2072</v>
      </c>
      <c r="C385" t="s">
        <v>2073</v>
      </c>
      <c r="D385" t="s">
        <v>1015</v>
      </c>
      <c r="E385" t="s">
        <v>1030</v>
      </c>
      <c r="F385" t="s">
        <v>1114</v>
      </c>
      <c r="G385" t="s">
        <v>2074</v>
      </c>
      <c r="H385" s="13">
        <v>590826.38800000004</v>
      </c>
      <c r="I385" s="14">
        <v>22521641.920000002</v>
      </c>
      <c r="J385" t="s">
        <v>1061</v>
      </c>
      <c r="K385" s="10">
        <v>1.7863899999999999</v>
      </c>
      <c r="M385" s="10">
        <v>0.44973358490566051</v>
      </c>
      <c r="N385" s="10">
        <v>0.4594988461538459</v>
      </c>
      <c r="O385" s="10">
        <v>0.52880846153846173</v>
      </c>
      <c r="P385" s="10">
        <v>0.58232076923076925</v>
      </c>
      <c r="Q385" s="10">
        <v>0.54296846153846168</v>
      </c>
      <c r="R385" s="10">
        <v>0.63250171428571422</v>
      </c>
      <c r="S385" s="10">
        <v>0.68781037735849071</v>
      </c>
      <c r="T385" s="10">
        <v>0.65709999999999991</v>
      </c>
      <c r="U385" s="10">
        <v>0.62643999999999977</v>
      </c>
      <c r="W385" s="10">
        <v>0.72626729729729744</v>
      </c>
      <c r="X385" s="10">
        <v>0.88751415094339647</v>
      </c>
      <c r="Y385" s="10">
        <v>1.4236768292682931</v>
      </c>
      <c r="Z385" s="11">
        <f t="shared" si="5"/>
        <v>0.40318062999999998</v>
      </c>
    </row>
    <row r="386" spans="1:26" x14ac:dyDescent="0.3">
      <c r="A386" t="s">
        <v>385</v>
      </c>
      <c r="B386" t="s">
        <v>2075</v>
      </c>
      <c r="C386" t="s">
        <v>2076</v>
      </c>
      <c r="D386" t="s">
        <v>1014</v>
      </c>
      <c r="E386" t="s">
        <v>1020</v>
      </c>
      <c r="F386" t="s">
        <v>1055</v>
      </c>
      <c r="G386" t="s">
        <v>1999</v>
      </c>
      <c r="H386" s="13">
        <v>13954.022999999999</v>
      </c>
      <c r="I386" s="14">
        <v>22428281.940000001</v>
      </c>
      <c r="J386" t="s">
        <v>1052</v>
      </c>
      <c r="K386" s="10">
        <v>1822.0771400000001</v>
      </c>
      <c r="M386" s="10">
        <v>822.95797471698063</v>
      </c>
      <c r="N386" s="10">
        <v>926.3969450000003</v>
      </c>
      <c r="O386" s="10">
        <v>993.76343115384577</v>
      </c>
      <c r="P386" s="10">
        <v>1056.037798653846</v>
      </c>
      <c r="Q386" s="10">
        <v>1188.7475948076931</v>
      </c>
      <c r="R386" s="10">
        <v>1256.8470715384619</v>
      </c>
      <c r="S386" s="10">
        <v>1349.614124528302</v>
      </c>
      <c r="T386" s="10">
        <v>1433.544689999999</v>
      </c>
      <c r="U386" s="10">
        <v>1502.6656743999999</v>
      </c>
      <c r="V386" s="10">
        <v>1579.3049344230769</v>
      </c>
      <c r="W386" s="10">
        <v>1657.0563321153841</v>
      </c>
      <c r="X386" s="10">
        <v>1739.469007924529</v>
      </c>
      <c r="Y386" s="10">
        <v>1824.419488780487</v>
      </c>
      <c r="Z386" s="11">
        <f t="shared" ref="Z386:Z449" si="6">IF(AND(ISNUMBER(INDEX($L386:$Y386,MATCH(BaseYear,p_years,0))),ISNUMBER(INDEX($L386:$Y386,MATCH(EndYear,p_years,0)))),ROUND(INDEX($L386:$Y386,MATCH(EndYear,p_years,0))/INDEX($L386:$Y386,MATCH(BaseYear,p_years,0))-1,8),"")</f>
        <v>0.38399415999999997</v>
      </c>
    </row>
    <row r="387" spans="1:26" x14ac:dyDescent="0.3">
      <c r="A387" t="s">
        <v>386</v>
      </c>
      <c r="B387" t="s">
        <v>2077</v>
      </c>
      <c r="C387" t="s">
        <v>2078</v>
      </c>
      <c r="D387" t="s">
        <v>1015</v>
      </c>
      <c r="E387" t="s">
        <v>1020</v>
      </c>
      <c r="F387" t="s">
        <v>2079</v>
      </c>
      <c r="G387" t="s">
        <v>2080</v>
      </c>
      <c r="H387" s="13">
        <v>16880307.899999999</v>
      </c>
      <c r="I387" s="14">
        <v>22392075.309999999</v>
      </c>
      <c r="J387" t="s">
        <v>1052</v>
      </c>
      <c r="K387" s="10">
        <v>0.11361</v>
      </c>
      <c r="S387" s="10">
        <v>0.16594264150943391</v>
      </c>
      <c r="T387" s="10">
        <v>0.14717442307692311</v>
      </c>
      <c r="U387" s="10">
        <v>0.13935557692307701</v>
      </c>
      <c r="V387" s="10">
        <v>0.13400980769230769</v>
      </c>
      <c r="W387" s="10">
        <v>0.1180398076923076</v>
      </c>
      <c r="X387" s="10">
        <v>0.11625962264150939</v>
      </c>
      <c r="Y387" s="10">
        <v>0.1146770731707317</v>
      </c>
      <c r="Z387" s="11" t="str">
        <f t="shared" si="6"/>
        <v/>
      </c>
    </row>
    <row r="388" spans="1:26" x14ac:dyDescent="0.3">
      <c r="A388" t="s">
        <v>387</v>
      </c>
      <c r="B388" t="s">
        <v>2081</v>
      </c>
      <c r="C388" t="s">
        <v>2078</v>
      </c>
      <c r="D388" t="s">
        <v>1015</v>
      </c>
      <c r="E388" t="s">
        <v>1020</v>
      </c>
      <c r="F388" t="s">
        <v>2082</v>
      </c>
      <c r="G388" t="s">
        <v>2080</v>
      </c>
      <c r="H388" s="13">
        <v>12461461.673</v>
      </c>
      <c r="I388" s="14">
        <v>22328561.309999999</v>
      </c>
      <c r="J388" t="s">
        <v>1052</v>
      </c>
      <c r="K388" s="10">
        <v>0.11361</v>
      </c>
      <c r="N388" s="10">
        <v>0.25541461538461541</v>
      </c>
      <c r="O388" s="10">
        <v>0.24121423076923079</v>
      </c>
      <c r="P388" s="10">
        <v>0.1690863461538461</v>
      </c>
      <c r="Q388" s="10">
        <v>0.13691423076923079</v>
      </c>
      <c r="R388" s="10">
        <v>0.1552325</v>
      </c>
      <c r="S388" s="10">
        <v>0.16594264150943391</v>
      </c>
      <c r="T388" s="10">
        <v>0.14717442307692311</v>
      </c>
      <c r="U388" s="10">
        <v>0.13935557692307701</v>
      </c>
      <c r="V388" s="10">
        <v>0.13400980769230769</v>
      </c>
      <c r="W388" s="10">
        <v>0.1180398076923076</v>
      </c>
      <c r="X388" s="10">
        <v>0.11625962264150939</v>
      </c>
      <c r="Y388" s="10">
        <v>0.1146770731707317</v>
      </c>
      <c r="Z388" s="11">
        <f t="shared" si="6"/>
        <v>-0.25106133000000003</v>
      </c>
    </row>
    <row r="389" spans="1:26" x14ac:dyDescent="0.3">
      <c r="A389" t="s">
        <v>388</v>
      </c>
      <c r="B389" t="s">
        <v>2083</v>
      </c>
      <c r="C389" t="s">
        <v>2084</v>
      </c>
      <c r="D389" t="s">
        <v>1016</v>
      </c>
      <c r="E389" t="s">
        <v>1026</v>
      </c>
      <c r="F389" t="s">
        <v>2049</v>
      </c>
      <c r="G389" t="s">
        <v>2085</v>
      </c>
      <c r="H389" s="13">
        <v>31584</v>
      </c>
      <c r="I389" s="14">
        <v>22294436.41</v>
      </c>
      <c r="J389" t="s">
        <v>1052</v>
      </c>
      <c r="K389" s="10">
        <v>712.46855000000005</v>
      </c>
      <c r="Q389" s="10">
        <v>368.13540442307692</v>
      </c>
      <c r="R389" s="10">
        <v>405.72189923076928</v>
      </c>
      <c r="S389" s="10">
        <v>438.34539981132087</v>
      </c>
      <c r="T389" s="10">
        <v>483.07601769230808</v>
      </c>
      <c r="U389" s="10">
        <v>533.88405769230769</v>
      </c>
      <c r="V389" s="10">
        <v>586.66659903846187</v>
      </c>
      <c r="W389" s="10">
        <v>644.50174942307717</v>
      </c>
      <c r="X389" s="10">
        <v>707.80062962264105</v>
      </c>
      <c r="Y389" s="10">
        <v>712.01960048780495</v>
      </c>
      <c r="Z389" s="11">
        <f t="shared" si="6"/>
        <v>0.74454628</v>
      </c>
    </row>
    <row r="390" spans="1:26" x14ac:dyDescent="0.3">
      <c r="A390" t="s">
        <v>389</v>
      </c>
      <c r="B390" t="s">
        <v>2086</v>
      </c>
      <c r="C390" t="s">
        <v>2087</v>
      </c>
      <c r="D390" t="s">
        <v>1014</v>
      </c>
      <c r="E390" t="s">
        <v>1020</v>
      </c>
      <c r="F390" t="s">
        <v>1064</v>
      </c>
      <c r="G390" t="s">
        <v>1213</v>
      </c>
      <c r="H390" s="13">
        <v>41856</v>
      </c>
      <c r="I390" s="14">
        <v>22292743.73</v>
      </c>
      <c r="J390" t="s">
        <v>1061</v>
      </c>
      <c r="K390" s="10">
        <v>570.77428999999995</v>
      </c>
      <c r="P390" s="10">
        <v>356.00300826923092</v>
      </c>
      <c r="Q390" s="10">
        <v>376.24280999999991</v>
      </c>
      <c r="U390" s="10">
        <v>465.29999999999961</v>
      </c>
      <c r="V390" s="10">
        <v>487.19120076923048</v>
      </c>
      <c r="W390" s="10">
        <v>511.85424884615412</v>
      </c>
      <c r="X390" s="10">
        <v>541.02621679245294</v>
      </c>
      <c r="Y390" s="10">
        <v>571.15622073170744</v>
      </c>
      <c r="Z390" s="11" t="str">
        <f t="shared" si="6"/>
        <v/>
      </c>
    </row>
    <row r="391" spans="1:26" x14ac:dyDescent="0.3">
      <c r="A391" t="s">
        <v>390</v>
      </c>
      <c r="B391" t="s">
        <v>2088</v>
      </c>
      <c r="C391" t="s">
        <v>2089</v>
      </c>
      <c r="D391" t="s">
        <v>1014</v>
      </c>
      <c r="E391" t="s">
        <v>1019</v>
      </c>
      <c r="F391" t="s">
        <v>1081</v>
      </c>
      <c r="G391" t="s">
        <v>1873</v>
      </c>
      <c r="H391" s="13">
        <v>2138512</v>
      </c>
      <c r="I391" s="14">
        <v>22209787.100000001</v>
      </c>
      <c r="J391" t="s">
        <v>1052</v>
      </c>
      <c r="K391" s="10">
        <v>5.5979900000000002</v>
      </c>
      <c r="Q391" s="10">
        <v>7.4446950000000012</v>
      </c>
      <c r="R391" s="10">
        <v>7.8754682692307716</v>
      </c>
      <c r="S391" s="10">
        <v>8.3471349056603756</v>
      </c>
      <c r="T391" s="10">
        <v>8.7601374999999972</v>
      </c>
      <c r="U391" s="10">
        <v>9.100577692307688</v>
      </c>
      <c r="V391" s="10">
        <v>9.4785374999999927</v>
      </c>
      <c r="W391" s="10">
        <v>9.7707636538461493</v>
      </c>
      <c r="X391" s="10">
        <v>10.05675283018868</v>
      </c>
      <c r="Y391" s="10">
        <v>5.5966336585365859</v>
      </c>
      <c r="Z391" s="11">
        <f t="shared" si="6"/>
        <v>0.27697205000000003</v>
      </c>
    </row>
    <row r="392" spans="1:26" x14ac:dyDescent="0.3">
      <c r="A392" t="s">
        <v>391</v>
      </c>
      <c r="B392" t="s">
        <v>2090</v>
      </c>
      <c r="C392" t="s">
        <v>2091</v>
      </c>
      <c r="D392" t="s">
        <v>1014</v>
      </c>
      <c r="E392" t="s">
        <v>1022</v>
      </c>
      <c r="F392" t="s">
        <v>1511</v>
      </c>
      <c r="G392" t="s">
        <v>1512</v>
      </c>
      <c r="H392" s="13">
        <v>2760723</v>
      </c>
      <c r="I392" s="14">
        <v>21941215.75</v>
      </c>
      <c r="J392" t="s">
        <v>1052</v>
      </c>
      <c r="K392" s="10">
        <v>8.2003299999999992</v>
      </c>
      <c r="T392" s="10">
        <v>7.0905311111111118</v>
      </c>
      <c r="U392" s="10">
        <v>7.1869661538461491</v>
      </c>
      <c r="V392" s="10">
        <v>7.44438038461539</v>
      </c>
      <c r="W392" s="10">
        <v>7.6751759615384616</v>
      </c>
      <c r="X392" s="10">
        <v>7.9006960377358544</v>
      </c>
      <c r="Y392" s="10">
        <v>8.2078309756097578</v>
      </c>
      <c r="Z392" s="11" t="str">
        <f t="shared" si="6"/>
        <v/>
      </c>
    </row>
    <row r="393" spans="1:26" x14ac:dyDescent="0.3">
      <c r="A393" t="s">
        <v>392</v>
      </c>
      <c r="B393" t="s">
        <v>2092</v>
      </c>
      <c r="C393" t="s">
        <v>2093</v>
      </c>
      <c r="D393" t="s">
        <v>1014</v>
      </c>
      <c r="E393" t="s">
        <v>1705</v>
      </c>
      <c r="F393" t="s">
        <v>2094</v>
      </c>
      <c r="G393" t="s">
        <v>2095</v>
      </c>
      <c r="H393" s="13">
        <v>997105</v>
      </c>
      <c r="I393" s="14">
        <v>21872474.579999998</v>
      </c>
      <c r="J393" t="s">
        <v>1052</v>
      </c>
      <c r="K393" s="10">
        <v>22.412099999999999</v>
      </c>
      <c r="W393" s="10">
        <v>20.77880378378379</v>
      </c>
      <c r="X393" s="10">
        <v>21.765952075471681</v>
      </c>
      <c r="Y393" s="10">
        <v>22.423689512195121</v>
      </c>
      <c r="Z393" s="11" t="str">
        <f t="shared" si="6"/>
        <v/>
      </c>
    </row>
    <row r="394" spans="1:26" x14ac:dyDescent="0.3">
      <c r="A394" t="s">
        <v>393</v>
      </c>
      <c r="B394" t="s">
        <v>2096</v>
      </c>
      <c r="C394" t="s">
        <v>2097</v>
      </c>
      <c r="D394" t="s">
        <v>1014</v>
      </c>
      <c r="E394" t="s">
        <v>1027</v>
      </c>
      <c r="F394" t="s">
        <v>1925</v>
      </c>
      <c r="G394" t="s">
        <v>1926</v>
      </c>
      <c r="H394" s="13">
        <v>753585.75</v>
      </c>
      <c r="I394" s="14">
        <v>21825040.940000001</v>
      </c>
      <c r="J394" t="s">
        <v>1052</v>
      </c>
      <c r="K394" s="10">
        <v>29.912929999999999</v>
      </c>
      <c r="M394" s="10">
        <v>7.8473728571428554</v>
      </c>
      <c r="N394" s="10">
        <v>10.684035769230769</v>
      </c>
      <c r="O394" s="10">
        <v>13.916201730769229</v>
      </c>
      <c r="P394" s="10">
        <v>15.695832307692321</v>
      </c>
      <c r="Q394" s="10">
        <v>17.595867692307682</v>
      </c>
      <c r="R394" s="10">
        <v>19.244138846153849</v>
      </c>
      <c r="S394" s="10">
        <v>21.03666339622642</v>
      </c>
      <c r="T394" s="10">
        <v>23.06390115384615</v>
      </c>
      <c r="U394" s="10">
        <v>24.370370000000001</v>
      </c>
      <c r="V394" s="10">
        <v>26.42948134615385</v>
      </c>
      <c r="W394" s="10">
        <v>28.563971730769239</v>
      </c>
      <c r="X394" s="10">
        <v>29.959250943396249</v>
      </c>
      <c r="Y394" s="10">
        <v>29.921863170731712</v>
      </c>
      <c r="Z394" s="11">
        <f t="shared" si="6"/>
        <v>0.55679873000000002</v>
      </c>
    </row>
    <row r="395" spans="1:26" x14ac:dyDescent="0.3">
      <c r="A395" t="s">
        <v>394</v>
      </c>
      <c r="B395" t="s">
        <v>2098</v>
      </c>
      <c r="C395" t="s">
        <v>1718</v>
      </c>
      <c r="D395" t="s">
        <v>1014</v>
      </c>
      <c r="E395" t="s">
        <v>1020</v>
      </c>
      <c r="F395" t="s">
        <v>1092</v>
      </c>
      <c r="G395" t="s">
        <v>1719</v>
      </c>
      <c r="H395" s="13">
        <v>17543.175999999999</v>
      </c>
      <c r="I395" s="14">
        <v>21519451.91</v>
      </c>
      <c r="J395" t="s">
        <v>1061</v>
      </c>
      <c r="K395" s="10">
        <v>1862.74398</v>
      </c>
      <c r="M395" s="10">
        <v>841.69312566037706</v>
      </c>
      <c r="N395" s="10">
        <v>906.81369461538463</v>
      </c>
      <c r="O395" s="10">
        <v>983.52401557692315</v>
      </c>
      <c r="P395" s="10">
        <v>1060.9119913461541</v>
      </c>
      <c r="Q395" s="10">
        <v>1140.2288263461539</v>
      </c>
      <c r="R395" s="10">
        <v>1176.4528055769219</v>
      </c>
      <c r="S395" s="10">
        <v>1231.3716550943391</v>
      </c>
      <c r="T395" s="10">
        <v>1302.1709096153841</v>
      </c>
      <c r="U395" s="10">
        <v>1400.876761153846</v>
      </c>
      <c r="V395" s="10">
        <v>1539.0781853846161</v>
      </c>
      <c r="W395" s="10">
        <v>1696.9236228846139</v>
      </c>
      <c r="X395" s="10">
        <v>1806.438903773585</v>
      </c>
      <c r="Y395" s="10">
        <v>1862.670732439025</v>
      </c>
      <c r="Z395" s="11">
        <f t="shared" si="6"/>
        <v>0.53549628000000005</v>
      </c>
    </row>
    <row r="396" spans="1:26" x14ac:dyDescent="0.3">
      <c r="A396" t="s">
        <v>395</v>
      </c>
      <c r="B396" t="s">
        <v>2099</v>
      </c>
      <c r="C396" t="s">
        <v>2100</v>
      </c>
      <c r="D396" t="s">
        <v>1015</v>
      </c>
      <c r="E396" t="s">
        <v>1025</v>
      </c>
      <c r="F396" t="s">
        <v>2043</v>
      </c>
      <c r="G396" t="s">
        <v>2101</v>
      </c>
      <c r="H396" s="13">
        <v>13381.4</v>
      </c>
      <c r="I396" s="14">
        <v>21458829.260000002</v>
      </c>
      <c r="J396" t="s">
        <v>1061</v>
      </c>
      <c r="K396" s="10">
        <v>1587.81765</v>
      </c>
      <c r="W396" s="10">
        <v>1591.377319166666</v>
      </c>
      <c r="X396" s="10">
        <v>1590.7236458490561</v>
      </c>
      <c r="Y396" s="10">
        <v>1590.2359768292681</v>
      </c>
      <c r="Z396" s="11" t="str">
        <f t="shared" si="6"/>
        <v/>
      </c>
    </row>
    <row r="397" spans="1:26" x14ac:dyDescent="0.3">
      <c r="A397" t="s">
        <v>396</v>
      </c>
      <c r="B397" t="s">
        <v>2102</v>
      </c>
      <c r="C397" t="s">
        <v>2103</v>
      </c>
      <c r="D397" t="s">
        <v>1014</v>
      </c>
      <c r="E397" t="s">
        <v>1027</v>
      </c>
      <c r="F397" t="s">
        <v>1131</v>
      </c>
      <c r="G397" t="s">
        <v>1132</v>
      </c>
      <c r="H397" s="13">
        <v>10541.066000000001</v>
      </c>
      <c r="I397" s="14">
        <v>21375813.649999999</v>
      </c>
      <c r="J397" t="s">
        <v>1052</v>
      </c>
      <c r="K397" s="10">
        <v>2141.1481100000001</v>
      </c>
      <c r="X397" s="10">
        <v>2080.6334079411758</v>
      </c>
      <c r="Y397" s="10">
        <v>2139.105616829268</v>
      </c>
      <c r="Z397" s="11" t="str">
        <f t="shared" si="6"/>
        <v/>
      </c>
    </row>
    <row r="398" spans="1:26" x14ac:dyDescent="0.3">
      <c r="A398" t="s">
        <v>397</v>
      </c>
      <c r="B398" t="s">
        <v>2104</v>
      </c>
      <c r="C398" t="s">
        <v>2105</v>
      </c>
      <c r="D398" t="s">
        <v>1014</v>
      </c>
      <c r="E398" t="s">
        <v>1025</v>
      </c>
      <c r="F398" t="s">
        <v>1068</v>
      </c>
      <c r="G398" t="s">
        <v>1200</v>
      </c>
      <c r="H398" s="13">
        <v>1490</v>
      </c>
      <c r="I398" s="14">
        <v>21223375.68</v>
      </c>
      <c r="J398" t="s">
        <v>1061</v>
      </c>
      <c r="K398" s="10">
        <v>14620.069170000001</v>
      </c>
      <c r="Z398" s="11" t="str">
        <f t="shared" si="6"/>
        <v/>
      </c>
    </row>
    <row r="399" spans="1:26" x14ac:dyDescent="0.3">
      <c r="A399" t="s">
        <v>398</v>
      </c>
      <c r="B399" t="s">
        <v>2106</v>
      </c>
      <c r="C399" t="s">
        <v>2107</v>
      </c>
      <c r="D399" t="s">
        <v>1015</v>
      </c>
      <c r="E399" t="s">
        <v>1026</v>
      </c>
      <c r="F399" t="s">
        <v>2108</v>
      </c>
      <c r="G399" t="s">
        <v>2109</v>
      </c>
      <c r="H399" s="13">
        <v>30532082.813999999</v>
      </c>
      <c r="I399" s="14">
        <v>21165865.079999998</v>
      </c>
      <c r="J399" t="s">
        <v>1052</v>
      </c>
      <c r="K399" s="10">
        <v>0.28384999999999999</v>
      </c>
      <c r="M399" s="10">
        <v>0.55322811320754717</v>
      </c>
      <c r="N399" s="10">
        <v>0.47975807692307693</v>
      </c>
      <c r="O399" s="10">
        <v>0.4929330769230767</v>
      </c>
      <c r="P399" s="10">
        <v>0.40145903846153841</v>
      </c>
      <c r="Q399" s="10">
        <v>0.34927846153846159</v>
      </c>
      <c r="R399" s="10">
        <v>0.31243288461538471</v>
      </c>
      <c r="S399" s="10">
        <v>0.33842433962264162</v>
      </c>
      <c r="T399" s="10">
        <v>0.29298557692307692</v>
      </c>
      <c r="U399" s="10">
        <v>0.30404153846153847</v>
      </c>
      <c r="V399" s="10">
        <v>0.32913865384615387</v>
      </c>
      <c r="W399" s="10">
        <v>0.3014873076923078</v>
      </c>
      <c r="X399" s="10">
        <v>0.30459999999999998</v>
      </c>
      <c r="Y399" s="10">
        <v>0.28095048780487802</v>
      </c>
      <c r="Z399" s="11">
        <f t="shared" si="6"/>
        <v>-2.5070619999999998E-2</v>
      </c>
    </row>
    <row r="400" spans="1:26" x14ac:dyDescent="0.3">
      <c r="A400" t="s">
        <v>399</v>
      </c>
      <c r="B400" t="s">
        <v>2110</v>
      </c>
      <c r="C400" t="s">
        <v>2111</v>
      </c>
      <c r="D400" t="s">
        <v>1014</v>
      </c>
      <c r="E400" t="s">
        <v>1019</v>
      </c>
      <c r="F400" t="s">
        <v>1064</v>
      </c>
      <c r="G400" t="s">
        <v>1868</v>
      </c>
      <c r="H400" s="13">
        <v>2996131.645</v>
      </c>
      <c r="I400" s="14">
        <v>21086612.280000001</v>
      </c>
      <c r="J400" t="s">
        <v>1061</v>
      </c>
      <c r="K400" s="10">
        <v>6.9351900000000004</v>
      </c>
      <c r="M400" s="10">
        <v>17.47542415094339</v>
      </c>
      <c r="N400" s="10">
        <v>20.969233461538469</v>
      </c>
      <c r="O400" s="10">
        <v>23.773633846153839</v>
      </c>
      <c r="P400" s="10">
        <v>26.171303653846149</v>
      </c>
      <c r="Q400" s="10">
        <v>27.110182692307681</v>
      </c>
      <c r="R400" s="10">
        <v>27.78256326923076</v>
      </c>
      <c r="S400" s="10">
        <v>27.749479245282998</v>
      </c>
      <c r="T400" s="10">
        <v>27.761314807692301</v>
      </c>
      <c r="U400" s="10">
        <v>27.82042538461538</v>
      </c>
      <c r="V400" s="10">
        <v>27.79716557692306</v>
      </c>
      <c r="W400" s="10">
        <v>7.3488980769230796</v>
      </c>
      <c r="X400" s="10">
        <v>6.9416545283018909</v>
      </c>
      <c r="Y400" s="10">
        <v>6.9382390243902403</v>
      </c>
      <c r="Z400" s="11">
        <f t="shared" si="6"/>
        <v>-0.75014347999999997</v>
      </c>
    </row>
    <row r="401" spans="1:26" x14ac:dyDescent="0.3">
      <c r="A401" t="s">
        <v>400</v>
      </c>
      <c r="B401" t="s">
        <v>2112</v>
      </c>
      <c r="C401" t="s">
        <v>2113</v>
      </c>
      <c r="D401" t="s">
        <v>1014</v>
      </c>
      <c r="E401" t="s">
        <v>1028</v>
      </c>
      <c r="F401" t="s">
        <v>2027</v>
      </c>
      <c r="G401" t="s">
        <v>2114</v>
      </c>
      <c r="H401" s="13">
        <v>2129965</v>
      </c>
      <c r="I401" s="14">
        <v>21012379.300000001</v>
      </c>
      <c r="J401" t="s">
        <v>1163</v>
      </c>
      <c r="K401" s="10">
        <v>10.00099</v>
      </c>
      <c r="U401" s="10">
        <v>8.9458124390243885</v>
      </c>
      <c r="V401" s="10">
        <v>9.3390567307692276</v>
      </c>
      <c r="W401" s="10">
        <v>9.55067019230769</v>
      </c>
      <c r="X401" s="10">
        <v>9.7668749056603748</v>
      </c>
      <c r="Y401" s="10">
        <v>9.97526634146341</v>
      </c>
      <c r="Z401" s="11" t="str">
        <f t="shared" si="6"/>
        <v/>
      </c>
    </row>
    <row r="402" spans="1:26" x14ac:dyDescent="0.3">
      <c r="A402" t="s">
        <v>401</v>
      </c>
      <c r="B402" t="s">
        <v>2115</v>
      </c>
      <c r="C402" t="s">
        <v>1829</v>
      </c>
      <c r="D402" t="s">
        <v>1014</v>
      </c>
      <c r="E402" t="s">
        <v>1027</v>
      </c>
      <c r="F402" t="s">
        <v>1811</v>
      </c>
      <c r="G402" t="s">
        <v>1830</v>
      </c>
      <c r="H402" s="13">
        <v>9604316</v>
      </c>
      <c r="I402" s="14">
        <v>20981208.23</v>
      </c>
      <c r="J402" t="s">
        <v>1061</v>
      </c>
      <c r="K402" s="10">
        <v>2.1611600000000002</v>
      </c>
      <c r="R402" s="10">
        <v>1.8057321153846171</v>
      </c>
      <c r="S402" s="10">
        <v>1.9783205660377361</v>
      </c>
      <c r="T402" s="10">
        <v>2.1009986538461538</v>
      </c>
      <c r="U402" s="10">
        <v>2.1692000000000031</v>
      </c>
      <c r="V402" s="10">
        <v>2.1635230769230791</v>
      </c>
      <c r="W402" s="10">
        <v>2.1645113461538461</v>
      </c>
      <c r="X402" s="10">
        <v>2.1651703773584901</v>
      </c>
      <c r="Y402" s="10">
        <v>2.1625146341463419</v>
      </c>
      <c r="Z402" s="11">
        <f t="shared" si="6"/>
        <v>0.19905402999999999</v>
      </c>
    </row>
    <row r="403" spans="1:26" x14ac:dyDescent="0.3">
      <c r="A403" t="s">
        <v>402</v>
      </c>
      <c r="B403" t="s">
        <v>2116</v>
      </c>
      <c r="C403" t="s">
        <v>2117</v>
      </c>
      <c r="D403" t="s">
        <v>1014</v>
      </c>
      <c r="E403" t="s">
        <v>1019</v>
      </c>
      <c r="F403" t="s">
        <v>1059</v>
      </c>
      <c r="G403" t="s">
        <v>2118</v>
      </c>
      <c r="H403" s="13">
        <v>1759982</v>
      </c>
      <c r="I403" s="14">
        <v>20903327.199999999</v>
      </c>
      <c r="J403" t="s">
        <v>1061</v>
      </c>
      <c r="K403" s="10">
        <v>12.10918</v>
      </c>
      <c r="R403" s="10">
        <v>22.809914999999979</v>
      </c>
      <c r="S403" s="10">
        <v>16.15617924528302</v>
      </c>
      <c r="T403" s="10">
        <v>16.166682692307688</v>
      </c>
      <c r="U403" s="10">
        <v>12.21838692307692</v>
      </c>
      <c r="V403" s="10">
        <v>12.120522500000011</v>
      </c>
      <c r="W403" s="10">
        <v>12.12044538461538</v>
      </c>
      <c r="X403" s="10">
        <v>12.122408113207539</v>
      </c>
      <c r="Y403" s="10">
        <v>12.112681951219511</v>
      </c>
      <c r="Z403" s="11">
        <f t="shared" si="6"/>
        <v>-0.46854655000000001</v>
      </c>
    </row>
    <row r="404" spans="1:26" x14ac:dyDescent="0.3">
      <c r="A404" t="s">
        <v>403</v>
      </c>
      <c r="B404" t="s">
        <v>2119</v>
      </c>
      <c r="C404" t="s">
        <v>2120</v>
      </c>
      <c r="D404" t="s">
        <v>1015</v>
      </c>
      <c r="E404" t="s">
        <v>1022</v>
      </c>
      <c r="F404" t="s">
        <v>1941</v>
      </c>
      <c r="G404" t="s">
        <v>2121</v>
      </c>
      <c r="H404" s="13">
        <v>634980854.75399995</v>
      </c>
      <c r="I404" s="14">
        <v>20630086.27</v>
      </c>
      <c r="J404" t="s">
        <v>1163</v>
      </c>
      <c r="K404" s="10">
        <v>2.0369999999999999E-2</v>
      </c>
      <c r="M404" s="10">
        <v>1.881566037735849E-2</v>
      </c>
      <c r="N404" s="10">
        <v>1.8844807692307688E-2</v>
      </c>
      <c r="O404" s="10">
        <v>1.8846153846153839E-2</v>
      </c>
      <c r="P404" s="10">
        <v>1.9705192307692309E-2</v>
      </c>
      <c r="Q404" s="10">
        <v>1.9199615384615381E-2</v>
      </c>
      <c r="R404" s="10">
        <v>1.9296153846153841E-2</v>
      </c>
      <c r="S404" s="10">
        <v>1.8341509433962261E-2</v>
      </c>
      <c r="T404" s="10">
        <v>1.8214615384615392E-2</v>
      </c>
      <c r="U404" s="10">
        <v>2.0878846153846151E-2</v>
      </c>
      <c r="V404" s="10">
        <v>2.072884615384616E-2</v>
      </c>
      <c r="W404" s="10">
        <v>2.0556346153846161E-2</v>
      </c>
      <c r="X404" s="10">
        <v>2.01320754716981E-2</v>
      </c>
      <c r="Y404" s="10">
        <v>2.042512195121951E-2</v>
      </c>
      <c r="Z404" s="11">
        <f t="shared" si="6"/>
        <v>4.3320629999999999E-2</v>
      </c>
    </row>
    <row r="405" spans="1:26" x14ac:dyDescent="0.3">
      <c r="A405" t="s">
        <v>404</v>
      </c>
      <c r="B405" t="s">
        <v>2122</v>
      </c>
      <c r="C405" t="s">
        <v>2123</v>
      </c>
      <c r="D405" t="s">
        <v>1015</v>
      </c>
      <c r="E405" t="s">
        <v>1028</v>
      </c>
      <c r="F405" t="s">
        <v>1551</v>
      </c>
      <c r="G405" t="s">
        <v>2124</v>
      </c>
      <c r="H405" s="13">
        <v>86885</v>
      </c>
      <c r="I405" s="14">
        <v>20595705.48</v>
      </c>
      <c r="J405" t="s">
        <v>1052</v>
      </c>
      <c r="K405" s="10">
        <v>26.45683</v>
      </c>
      <c r="X405" s="10">
        <v>175.03071</v>
      </c>
      <c r="Y405" s="10">
        <v>27.810285853658549</v>
      </c>
      <c r="Z405" s="11" t="str">
        <f t="shared" si="6"/>
        <v/>
      </c>
    </row>
    <row r="406" spans="1:26" x14ac:dyDescent="0.3">
      <c r="A406" t="s">
        <v>405</v>
      </c>
      <c r="B406" t="s">
        <v>2125</v>
      </c>
      <c r="C406" t="s">
        <v>2126</v>
      </c>
      <c r="D406" t="s">
        <v>1014</v>
      </c>
      <c r="E406" t="s">
        <v>1030</v>
      </c>
      <c r="F406" t="s">
        <v>2127</v>
      </c>
      <c r="G406" t="s">
        <v>2128</v>
      </c>
      <c r="H406" s="13">
        <v>1448199</v>
      </c>
      <c r="I406" s="14">
        <v>20536050.82</v>
      </c>
      <c r="J406" t="s">
        <v>1052</v>
      </c>
      <c r="K406" s="10">
        <v>14.61317</v>
      </c>
      <c r="W406" s="10">
        <v>13.22623423076922</v>
      </c>
      <c r="X406" s="10">
        <v>13.934831698113211</v>
      </c>
      <c r="Y406" s="10">
        <v>14.60180634146341</v>
      </c>
      <c r="Z406" s="11" t="str">
        <f t="shared" si="6"/>
        <v/>
      </c>
    </row>
    <row r="407" spans="1:26" x14ac:dyDescent="0.3">
      <c r="A407" t="s">
        <v>406</v>
      </c>
      <c r="B407" t="s">
        <v>2129</v>
      </c>
      <c r="C407" t="s">
        <v>2130</v>
      </c>
      <c r="D407" t="s">
        <v>1015</v>
      </c>
      <c r="E407" t="s">
        <v>1019</v>
      </c>
      <c r="F407" t="s">
        <v>1941</v>
      </c>
      <c r="G407" t="s">
        <v>2131</v>
      </c>
      <c r="H407" s="13">
        <v>3809704</v>
      </c>
      <c r="I407" s="14">
        <v>20287856.75</v>
      </c>
      <c r="J407" t="s">
        <v>1052</v>
      </c>
      <c r="K407" s="10">
        <v>4.9069000000000003</v>
      </c>
      <c r="O407" s="10">
        <v>6.5899304166666681</v>
      </c>
      <c r="P407" s="10">
        <v>5.8202267307692317</v>
      </c>
      <c r="Q407" s="10">
        <v>5.4238969230769252</v>
      </c>
      <c r="R407" s="10">
        <v>5.445471538461538</v>
      </c>
      <c r="S407" s="10">
        <v>5.7823099999999998</v>
      </c>
      <c r="T407" s="10">
        <v>5.4165828846153863</v>
      </c>
      <c r="U407" s="10">
        <v>5.1705628846153866</v>
      </c>
      <c r="V407" s="10">
        <v>5.0401780769230742</v>
      </c>
      <c r="W407" s="10">
        <v>4.6661917307692304</v>
      </c>
      <c r="X407" s="10">
        <v>4.7097322641509436</v>
      </c>
      <c r="Y407" s="10">
        <v>4.8295326829268292</v>
      </c>
      <c r="Z407" s="11">
        <f t="shared" si="6"/>
        <v>-0.13511029999999999</v>
      </c>
    </row>
    <row r="408" spans="1:26" x14ac:dyDescent="0.3">
      <c r="A408" t="s">
        <v>407</v>
      </c>
      <c r="B408" t="s">
        <v>2132</v>
      </c>
      <c r="C408" t="s">
        <v>1392</v>
      </c>
      <c r="D408" t="s">
        <v>1015</v>
      </c>
      <c r="E408" t="s">
        <v>1032</v>
      </c>
      <c r="F408" t="s">
        <v>1608</v>
      </c>
      <c r="G408" t="s">
        <v>1611</v>
      </c>
      <c r="H408" s="13">
        <v>5947087.9610000001</v>
      </c>
      <c r="I408" s="14">
        <v>20181639.690000001</v>
      </c>
      <c r="J408" t="s">
        <v>1163</v>
      </c>
      <c r="K408" s="10">
        <v>2.1200199999999998</v>
      </c>
      <c r="U408" s="10">
        <v>3.7439209999999989</v>
      </c>
      <c r="V408" s="10">
        <v>3.111507884615385</v>
      </c>
      <c r="W408" s="10">
        <v>2.7448038461538471</v>
      </c>
      <c r="X408" s="10">
        <v>2.2710094339622628</v>
      </c>
      <c r="Y408" s="10">
        <v>2.1431553658536591</v>
      </c>
      <c r="Z408" s="11" t="str">
        <f t="shared" si="6"/>
        <v/>
      </c>
    </row>
    <row r="409" spans="1:26" x14ac:dyDescent="0.3">
      <c r="A409" t="s">
        <v>408</v>
      </c>
      <c r="B409" t="s">
        <v>2133</v>
      </c>
      <c r="C409" t="s">
        <v>2134</v>
      </c>
      <c r="D409" t="s">
        <v>1014</v>
      </c>
      <c r="E409" t="s">
        <v>1027</v>
      </c>
      <c r="F409" t="s">
        <v>1055</v>
      </c>
      <c r="G409" t="s">
        <v>2135</v>
      </c>
      <c r="H409" s="13">
        <v>10616856.515000001</v>
      </c>
      <c r="I409" s="14">
        <v>20139760.760000002</v>
      </c>
      <c r="J409" t="s">
        <v>1052</v>
      </c>
      <c r="K409" s="10">
        <v>1.9695100000000001</v>
      </c>
      <c r="M409" s="10">
        <v>1.250821509433963</v>
      </c>
      <c r="N409" s="10">
        <v>1.3693180769230771</v>
      </c>
      <c r="O409" s="10">
        <v>1.465221153846153</v>
      </c>
      <c r="P409" s="10">
        <v>1.5389040384615389</v>
      </c>
      <c r="Q409" s="10">
        <v>1.6292707692307691</v>
      </c>
      <c r="R409" s="10">
        <v>1.6284707692307701</v>
      </c>
      <c r="S409" s="10">
        <v>1.6219547169811319</v>
      </c>
      <c r="T409" s="10">
        <v>1.616201346153846</v>
      </c>
      <c r="U409" s="10">
        <v>1.6229530769230771</v>
      </c>
      <c r="V409" s="10">
        <v>1.706829807692309</v>
      </c>
      <c r="W409" s="10">
        <v>1.7917938461538461</v>
      </c>
      <c r="X409" s="10">
        <v>1.878253584905661</v>
      </c>
      <c r="Y409" s="10">
        <v>1.967576097560976</v>
      </c>
      <c r="Z409" s="11">
        <f t="shared" si="6"/>
        <v>0.15338489</v>
      </c>
    </row>
    <row r="410" spans="1:26" x14ac:dyDescent="0.3">
      <c r="A410" t="s">
        <v>409</v>
      </c>
      <c r="B410" t="s">
        <v>2136</v>
      </c>
      <c r="C410" t="s">
        <v>2137</v>
      </c>
      <c r="D410" t="s">
        <v>1014</v>
      </c>
      <c r="E410" t="s">
        <v>1018</v>
      </c>
      <c r="F410" t="s">
        <v>1811</v>
      </c>
      <c r="G410" t="s">
        <v>2138</v>
      </c>
      <c r="H410" s="13">
        <v>1527705.95</v>
      </c>
      <c r="I410" s="14">
        <v>19922293.989999998</v>
      </c>
      <c r="J410" t="s">
        <v>1061</v>
      </c>
      <c r="K410" s="10">
        <v>13.379619999999999</v>
      </c>
      <c r="X410" s="10">
        <v>13.248856200000001</v>
      </c>
      <c r="Y410" s="10">
        <v>13.38771</v>
      </c>
      <c r="Z410" s="11" t="str">
        <f t="shared" si="6"/>
        <v/>
      </c>
    </row>
    <row r="411" spans="1:26" x14ac:dyDescent="0.3">
      <c r="A411" t="s">
        <v>410</v>
      </c>
      <c r="B411" t="s">
        <v>2139</v>
      </c>
      <c r="C411" t="s">
        <v>1192</v>
      </c>
      <c r="D411" t="s">
        <v>1014</v>
      </c>
      <c r="E411" t="s">
        <v>1023</v>
      </c>
      <c r="F411" t="s">
        <v>1193</v>
      </c>
      <c r="G411" t="s">
        <v>1194</v>
      </c>
      <c r="H411" s="13">
        <v>198176</v>
      </c>
      <c r="I411" s="14">
        <v>19780698.239999998</v>
      </c>
      <c r="J411" t="s">
        <v>1052</v>
      </c>
      <c r="K411" s="10">
        <v>105.22465</v>
      </c>
      <c r="W411" s="10">
        <v>96.252570212765946</v>
      </c>
      <c r="X411" s="10">
        <v>99.974800566037786</v>
      </c>
      <c r="Y411" s="10">
        <v>105.2215668292683</v>
      </c>
      <c r="Z411" s="11" t="str">
        <f t="shared" si="6"/>
        <v/>
      </c>
    </row>
    <row r="412" spans="1:26" x14ac:dyDescent="0.3">
      <c r="A412" t="s">
        <v>411</v>
      </c>
      <c r="B412" t="s">
        <v>2140</v>
      </c>
      <c r="C412" t="s">
        <v>1937</v>
      </c>
      <c r="D412" t="s">
        <v>1015</v>
      </c>
      <c r="E412" t="s">
        <v>1030</v>
      </c>
      <c r="F412" t="s">
        <v>1837</v>
      </c>
      <c r="G412" t="s">
        <v>1938</v>
      </c>
      <c r="H412" s="13">
        <v>136307540.21200001</v>
      </c>
      <c r="I412" s="14">
        <v>19750169</v>
      </c>
      <c r="J412" t="s">
        <v>1163</v>
      </c>
      <c r="K412" s="10">
        <v>8.1339999999999996E-2</v>
      </c>
      <c r="X412" s="10">
        <v>9.1000377358490578E-2</v>
      </c>
      <c r="Y412" s="10">
        <v>8.7706829268292708E-2</v>
      </c>
      <c r="Z412" s="11" t="str">
        <f t="shared" si="6"/>
        <v/>
      </c>
    </row>
    <row r="413" spans="1:26" x14ac:dyDescent="0.3">
      <c r="A413" t="s">
        <v>412</v>
      </c>
      <c r="B413" t="s">
        <v>2141</v>
      </c>
      <c r="C413" t="s">
        <v>2142</v>
      </c>
      <c r="D413" t="s">
        <v>1014</v>
      </c>
      <c r="E413" t="s">
        <v>1019</v>
      </c>
      <c r="F413" t="s">
        <v>1068</v>
      </c>
      <c r="G413" t="s">
        <v>1962</v>
      </c>
      <c r="H413" s="13">
        <v>1007693</v>
      </c>
      <c r="I413" s="14">
        <v>19723310.030000001</v>
      </c>
      <c r="J413" t="s">
        <v>1052</v>
      </c>
      <c r="K413" s="10">
        <v>19.126909999999999</v>
      </c>
      <c r="M413" s="10">
        <v>9.6038300000000021</v>
      </c>
      <c r="N413" s="10">
        <v>11.15813326923077</v>
      </c>
      <c r="O413" s="10">
        <v>12.370040384615381</v>
      </c>
      <c r="P413" s="10">
        <v>13.573554038461531</v>
      </c>
      <c r="Q413" s="10">
        <v>14.84066615384616</v>
      </c>
      <c r="R413" s="10">
        <v>15.807617692307691</v>
      </c>
      <c r="S413" s="10">
        <v>16.558608113207551</v>
      </c>
      <c r="T413" s="10">
        <v>17.33042115384616</v>
      </c>
      <c r="U413" s="10">
        <v>18.167913269230748</v>
      </c>
      <c r="V413" s="10">
        <v>19.090511923076921</v>
      </c>
      <c r="W413" s="10">
        <v>19.153328653846149</v>
      </c>
      <c r="X413" s="10">
        <v>19.145290943396219</v>
      </c>
      <c r="Y413" s="10">
        <v>19.112335365853649</v>
      </c>
      <c r="Z413" s="11">
        <f t="shared" si="6"/>
        <v>0.21114334000000001</v>
      </c>
    </row>
    <row r="414" spans="1:26" x14ac:dyDescent="0.3">
      <c r="A414" t="s">
        <v>413</v>
      </c>
      <c r="B414" t="s">
        <v>2143</v>
      </c>
      <c r="C414" t="s">
        <v>2144</v>
      </c>
      <c r="D414" t="s">
        <v>1014</v>
      </c>
      <c r="E414" t="s">
        <v>1027</v>
      </c>
      <c r="F414" t="s">
        <v>1419</v>
      </c>
      <c r="G414" t="s">
        <v>1420</v>
      </c>
      <c r="H414" s="13">
        <v>56283</v>
      </c>
      <c r="I414" s="14">
        <v>19699411.510000002</v>
      </c>
      <c r="J414" t="s">
        <v>1052</v>
      </c>
      <c r="K414" s="10">
        <v>366.14353</v>
      </c>
      <c r="X414" s="10">
        <v>351.86821931034501</v>
      </c>
      <c r="Y414" s="10">
        <v>366.16288219512188</v>
      </c>
      <c r="Z414" s="11" t="str">
        <f t="shared" si="6"/>
        <v/>
      </c>
    </row>
    <row r="415" spans="1:26" x14ac:dyDescent="0.3">
      <c r="A415" t="s">
        <v>414</v>
      </c>
      <c r="B415" t="s">
        <v>2145</v>
      </c>
      <c r="C415" t="s">
        <v>2146</v>
      </c>
      <c r="D415" t="s">
        <v>1017</v>
      </c>
      <c r="E415" t="s">
        <v>1025</v>
      </c>
      <c r="F415" t="s">
        <v>1382</v>
      </c>
      <c r="G415" t="s">
        <v>2147</v>
      </c>
      <c r="H415" s="13">
        <v>37007.199999999997</v>
      </c>
      <c r="I415" s="14">
        <v>19488578.43</v>
      </c>
      <c r="J415" t="s">
        <v>1052</v>
      </c>
      <c r="K415" s="10">
        <v>499.11944</v>
      </c>
      <c r="X415" s="10">
        <v>481.96739702702712</v>
      </c>
      <c r="Y415" s="10">
        <v>490.90721658536597</v>
      </c>
      <c r="Z415" s="11" t="str">
        <f t="shared" si="6"/>
        <v/>
      </c>
    </row>
    <row r="416" spans="1:26" x14ac:dyDescent="0.3">
      <c r="A416" t="s">
        <v>415</v>
      </c>
      <c r="B416" t="s">
        <v>2148</v>
      </c>
      <c r="C416" t="s">
        <v>2149</v>
      </c>
      <c r="D416" t="s">
        <v>1014</v>
      </c>
      <c r="E416" t="s">
        <v>1032</v>
      </c>
      <c r="F416" t="s">
        <v>1193</v>
      </c>
      <c r="G416" t="s">
        <v>2150</v>
      </c>
      <c r="H416" s="13">
        <v>2964885</v>
      </c>
      <c r="I416" s="14">
        <v>19291887.93</v>
      </c>
      <c r="J416" t="s">
        <v>1052</v>
      </c>
      <c r="K416" s="10">
        <v>6.5019999999999998</v>
      </c>
      <c r="O416" s="10">
        <v>4.8101400000000023</v>
      </c>
      <c r="P416" s="10">
        <v>5.1487805769230794</v>
      </c>
      <c r="Q416" s="10">
        <v>5.4501148076923069</v>
      </c>
      <c r="R416" s="10">
        <v>5.6189140384615408</v>
      </c>
      <c r="S416" s="10">
        <v>5.7836705660377312</v>
      </c>
      <c r="T416" s="10">
        <v>5.9533419230769242</v>
      </c>
      <c r="U416" s="10">
        <v>6.1242276923076977</v>
      </c>
      <c r="V416" s="10">
        <v>6.3170532692307724</v>
      </c>
      <c r="W416" s="10">
        <v>6.5066448076923056</v>
      </c>
      <c r="X416" s="10">
        <v>6.5076001886792438</v>
      </c>
      <c r="Y416" s="10">
        <v>6.5037341463414649</v>
      </c>
      <c r="Z416" s="11">
        <f t="shared" si="6"/>
        <v>0.15815977000000001</v>
      </c>
    </row>
    <row r="417" spans="1:26" x14ac:dyDescent="0.3">
      <c r="A417" t="s">
        <v>416</v>
      </c>
      <c r="B417" t="s">
        <v>2151</v>
      </c>
      <c r="C417" t="s">
        <v>2152</v>
      </c>
      <c r="D417" t="s">
        <v>1014</v>
      </c>
      <c r="E417" t="s">
        <v>1020</v>
      </c>
      <c r="F417" t="s">
        <v>1096</v>
      </c>
      <c r="G417" t="s">
        <v>2153</v>
      </c>
      <c r="H417" s="13">
        <v>3593.8420000000001</v>
      </c>
      <c r="I417" s="14">
        <v>19265689.850000001</v>
      </c>
      <c r="J417" t="s">
        <v>1052</v>
      </c>
      <c r="K417" s="10">
        <v>6948.0839999999998</v>
      </c>
      <c r="X417" s="10">
        <v>6664.2402515000022</v>
      </c>
      <c r="Y417" s="10">
        <v>6772.1006341463426</v>
      </c>
      <c r="Z417" s="11" t="str">
        <f t="shared" si="6"/>
        <v/>
      </c>
    </row>
    <row r="418" spans="1:26" x14ac:dyDescent="0.3">
      <c r="A418" t="s">
        <v>417</v>
      </c>
      <c r="B418" t="s">
        <v>2154</v>
      </c>
      <c r="C418" t="s">
        <v>2155</v>
      </c>
      <c r="D418" t="s">
        <v>1014</v>
      </c>
      <c r="E418" t="s">
        <v>1025</v>
      </c>
      <c r="F418" t="s">
        <v>1114</v>
      </c>
      <c r="G418" t="s">
        <v>2156</v>
      </c>
      <c r="H418" s="13">
        <v>101400</v>
      </c>
      <c r="I418" s="14">
        <v>19168441.390000001</v>
      </c>
      <c r="J418" t="s">
        <v>1052</v>
      </c>
      <c r="K418" s="10">
        <v>197.09241</v>
      </c>
      <c r="X418" s="10">
        <v>188.74694452830209</v>
      </c>
      <c r="Y418" s="10">
        <v>197.05799609756099</v>
      </c>
      <c r="Z418" s="11" t="str">
        <f t="shared" si="6"/>
        <v/>
      </c>
    </row>
    <row r="419" spans="1:26" x14ac:dyDescent="0.3">
      <c r="A419" t="s">
        <v>418</v>
      </c>
      <c r="B419" t="s">
        <v>2157</v>
      </c>
      <c r="C419" t="s">
        <v>2158</v>
      </c>
      <c r="D419" t="s">
        <v>1014</v>
      </c>
      <c r="E419" t="s">
        <v>1705</v>
      </c>
      <c r="F419" t="s">
        <v>1074</v>
      </c>
      <c r="G419" t="s">
        <v>2033</v>
      </c>
      <c r="H419" s="13">
        <v>635322</v>
      </c>
      <c r="I419" s="14">
        <v>19006392.98</v>
      </c>
      <c r="J419" t="s">
        <v>1052</v>
      </c>
      <c r="K419" s="10">
        <v>30.231200000000001</v>
      </c>
      <c r="X419" s="10">
        <v>29.69674357142857</v>
      </c>
      <c r="Y419" s="10">
        <v>30.258217317073161</v>
      </c>
      <c r="Z419" s="11" t="str">
        <f t="shared" si="6"/>
        <v/>
      </c>
    </row>
    <row r="420" spans="1:26" x14ac:dyDescent="0.3">
      <c r="A420" t="s">
        <v>419</v>
      </c>
      <c r="B420" t="s">
        <v>2159</v>
      </c>
      <c r="C420" t="s">
        <v>2160</v>
      </c>
      <c r="D420" t="s">
        <v>1015</v>
      </c>
      <c r="E420" t="s">
        <v>1027</v>
      </c>
      <c r="F420" t="s">
        <v>2161</v>
      </c>
      <c r="G420" t="s">
        <v>2162</v>
      </c>
      <c r="H420" s="13">
        <v>16028372.392000001</v>
      </c>
      <c r="I420" s="14">
        <v>18976388.559999999</v>
      </c>
      <c r="J420" t="s">
        <v>1052</v>
      </c>
      <c r="K420" s="10">
        <v>0.67154999999999998</v>
      </c>
      <c r="Q420" s="10">
        <v>7.2588986538461509</v>
      </c>
      <c r="R420" s="10">
        <v>5.7137551923076968</v>
      </c>
      <c r="S420" s="10">
        <v>2.673333018867925</v>
      </c>
      <c r="T420" s="10">
        <v>1.238417884615385</v>
      </c>
      <c r="U420" s="10">
        <v>0.90494557692307676</v>
      </c>
      <c r="V420" s="10">
        <v>1.020451153846154</v>
      </c>
      <c r="W420" s="10">
        <v>0.75783365384615387</v>
      </c>
      <c r="X420" s="10">
        <v>0.76350245283018892</v>
      </c>
      <c r="Y420" s="10">
        <v>0.69387780487804873</v>
      </c>
      <c r="Z420" s="11">
        <f t="shared" si="6"/>
        <v>-0.86637465999999996</v>
      </c>
    </row>
    <row r="421" spans="1:26" x14ac:dyDescent="0.3">
      <c r="A421" t="s">
        <v>420</v>
      </c>
      <c r="B421" t="s">
        <v>2163</v>
      </c>
      <c r="C421" t="s">
        <v>2164</v>
      </c>
      <c r="D421" t="s">
        <v>1014</v>
      </c>
      <c r="E421" t="s">
        <v>1027</v>
      </c>
      <c r="F421" t="s">
        <v>1382</v>
      </c>
      <c r="G421" t="s">
        <v>1833</v>
      </c>
      <c r="H421" s="13">
        <v>83606</v>
      </c>
      <c r="I421" s="14">
        <v>18968206.039999999</v>
      </c>
      <c r="J421" t="s">
        <v>1061</v>
      </c>
      <c r="K421" s="10">
        <v>229.7988</v>
      </c>
      <c r="M421" s="10">
        <v>4231.3835565217414</v>
      </c>
      <c r="N421" s="10">
        <v>196.1195478846154</v>
      </c>
      <c r="O421" s="10">
        <v>211.03154942307711</v>
      </c>
      <c r="P421" s="10">
        <v>227.31210826923069</v>
      </c>
      <c r="Q421" s="10">
        <v>229.93283461538459</v>
      </c>
      <c r="R421" s="10">
        <v>230.96410519230761</v>
      </c>
      <c r="S421" s="10">
        <v>230.5624650943397</v>
      </c>
      <c r="T421" s="10">
        <v>230.66076846153851</v>
      </c>
      <c r="W421" s="10">
        <v>230.15370980769231</v>
      </c>
      <c r="X421" s="10">
        <v>229.4705320754716</v>
      </c>
      <c r="Y421" s="10">
        <v>229.90449341463409</v>
      </c>
      <c r="Z421" s="11">
        <f t="shared" si="6"/>
        <v>-6.4666899999999998E-3</v>
      </c>
    </row>
    <row r="422" spans="1:26" x14ac:dyDescent="0.3">
      <c r="A422" t="s">
        <v>421</v>
      </c>
      <c r="B422" t="s">
        <v>2165</v>
      </c>
      <c r="C422" t="s">
        <v>2166</v>
      </c>
      <c r="D422" t="s">
        <v>1014</v>
      </c>
      <c r="E422" t="s">
        <v>1025</v>
      </c>
      <c r="F422" t="s">
        <v>1114</v>
      </c>
      <c r="G422" t="s">
        <v>1377</v>
      </c>
      <c r="H422" s="13">
        <v>195251</v>
      </c>
      <c r="I422" s="14">
        <v>18916951.800000001</v>
      </c>
      <c r="J422" t="s">
        <v>1052</v>
      </c>
      <c r="K422" s="10">
        <v>103.93841999999999</v>
      </c>
      <c r="W422" s="10">
        <v>93.873195937500014</v>
      </c>
      <c r="X422" s="10">
        <v>98.376130566037673</v>
      </c>
      <c r="Y422" s="10">
        <v>103.6666843902439</v>
      </c>
      <c r="Z422" s="11" t="str">
        <f t="shared" si="6"/>
        <v/>
      </c>
    </row>
    <row r="423" spans="1:26" x14ac:dyDescent="0.3">
      <c r="A423" t="s">
        <v>422</v>
      </c>
      <c r="B423" t="s">
        <v>2167</v>
      </c>
      <c r="C423" t="s">
        <v>2168</v>
      </c>
      <c r="D423" t="s">
        <v>1014</v>
      </c>
      <c r="E423" t="s">
        <v>1030</v>
      </c>
      <c r="F423" t="s">
        <v>1735</v>
      </c>
      <c r="G423" t="s">
        <v>1736</v>
      </c>
      <c r="H423" s="13">
        <v>851308</v>
      </c>
      <c r="I423" s="14">
        <v>18863786.870000001</v>
      </c>
      <c r="J423" t="s">
        <v>1052</v>
      </c>
      <c r="K423" s="10">
        <v>22.85154</v>
      </c>
      <c r="U423" s="10">
        <v>18.624905000000009</v>
      </c>
      <c r="V423" s="10">
        <v>20.000398846153839</v>
      </c>
      <c r="W423" s="10">
        <v>21.032632307692321</v>
      </c>
      <c r="X423" s="10">
        <v>21.927050943396221</v>
      </c>
      <c r="Y423" s="10">
        <v>22.831626585365861</v>
      </c>
      <c r="Z423" s="11" t="str">
        <f t="shared" si="6"/>
        <v/>
      </c>
    </row>
    <row r="424" spans="1:26" x14ac:dyDescent="0.3">
      <c r="A424" t="s">
        <v>423</v>
      </c>
      <c r="B424" t="s">
        <v>2169</v>
      </c>
      <c r="C424" t="s">
        <v>2170</v>
      </c>
      <c r="D424" t="s">
        <v>1015</v>
      </c>
      <c r="E424" t="s">
        <v>1032</v>
      </c>
      <c r="F424" t="s">
        <v>2171</v>
      </c>
      <c r="G424" t="s">
        <v>2172</v>
      </c>
      <c r="H424" s="13">
        <v>185888809.68900001</v>
      </c>
      <c r="I424" s="14">
        <v>18701708.98</v>
      </c>
      <c r="J424" t="s">
        <v>1061</v>
      </c>
      <c r="K424" s="10">
        <v>0.11989</v>
      </c>
      <c r="W424" s="10">
        <v>0.118725</v>
      </c>
      <c r="X424" s="10">
        <v>0.13906735849056609</v>
      </c>
      <c r="Y424" s="10">
        <v>0.1374743902439024</v>
      </c>
      <c r="Z424" s="11" t="str">
        <f t="shared" si="6"/>
        <v/>
      </c>
    </row>
    <row r="425" spans="1:26" x14ac:dyDescent="0.3">
      <c r="A425" t="s">
        <v>424</v>
      </c>
      <c r="B425" t="s">
        <v>2173</v>
      </c>
      <c r="C425" t="s">
        <v>1929</v>
      </c>
      <c r="D425" t="s">
        <v>1015</v>
      </c>
      <c r="E425" t="s">
        <v>1019</v>
      </c>
      <c r="F425" t="s">
        <v>1608</v>
      </c>
      <c r="G425" t="s">
        <v>1930</v>
      </c>
      <c r="H425" s="13">
        <v>348373.4</v>
      </c>
      <c r="I425" s="14">
        <v>18681078.440000001</v>
      </c>
      <c r="J425" t="s">
        <v>1061</v>
      </c>
      <c r="K425" s="10">
        <v>30.632380000000001</v>
      </c>
      <c r="X425" s="10">
        <v>59.07954083333334</v>
      </c>
      <c r="Y425" s="10">
        <v>37.043816341463412</v>
      </c>
      <c r="Z425" s="11" t="str">
        <f t="shared" si="6"/>
        <v/>
      </c>
    </row>
    <row r="426" spans="1:26" x14ac:dyDescent="0.3">
      <c r="A426" t="s">
        <v>425</v>
      </c>
      <c r="B426" t="s">
        <v>2174</v>
      </c>
      <c r="C426" t="s">
        <v>1829</v>
      </c>
      <c r="D426" t="s">
        <v>1014</v>
      </c>
      <c r="E426" t="s">
        <v>1027</v>
      </c>
      <c r="F426" t="s">
        <v>1811</v>
      </c>
      <c r="G426" t="s">
        <v>1830</v>
      </c>
      <c r="H426" s="13">
        <v>10225640</v>
      </c>
      <c r="I426" s="14">
        <v>18676506.280000001</v>
      </c>
      <c r="J426" t="s">
        <v>1061</v>
      </c>
      <c r="K426" s="10">
        <v>1.80061</v>
      </c>
      <c r="R426" s="10">
        <v>1.5018580769230769</v>
      </c>
      <c r="S426" s="10">
        <v>1.651273018867925</v>
      </c>
      <c r="T426" s="10">
        <v>1.753393269230769</v>
      </c>
      <c r="U426" s="10">
        <v>1.8072800000000011</v>
      </c>
      <c r="V426" s="10">
        <v>1.8098503846153871</v>
      </c>
      <c r="W426" s="10">
        <v>1.8072692307692311</v>
      </c>
      <c r="X426" s="10">
        <v>1.806132641509435</v>
      </c>
      <c r="Y426" s="10">
        <v>1.803983902439025</v>
      </c>
      <c r="Z426" s="11">
        <f t="shared" si="6"/>
        <v>0.20259874999999999</v>
      </c>
    </row>
    <row r="427" spans="1:26" x14ac:dyDescent="0.3">
      <c r="A427" t="s">
        <v>426</v>
      </c>
      <c r="B427" t="s">
        <v>2175</v>
      </c>
      <c r="C427" t="s">
        <v>2176</v>
      </c>
      <c r="D427" t="s">
        <v>1014</v>
      </c>
      <c r="E427" t="s">
        <v>1020</v>
      </c>
      <c r="F427" t="s">
        <v>1496</v>
      </c>
      <c r="G427" t="s">
        <v>2177</v>
      </c>
      <c r="H427" s="13">
        <v>111101.929</v>
      </c>
      <c r="I427" s="14">
        <v>18629959.84</v>
      </c>
      <c r="J427" t="s">
        <v>1052</v>
      </c>
      <c r="K427" s="10">
        <v>155.70283000000001</v>
      </c>
      <c r="U427" s="10">
        <v>156.03729653846139</v>
      </c>
      <c r="V427" s="10">
        <v>155.73872307692301</v>
      </c>
      <c r="W427" s="10">
        <v>156.007425576923</v>
      </c>
      <c r="X427" s="10">
        <v>155.97927830188681</v>
      </c>
      <c r="Y427" s="10">
        <v>155.8153870731708</v>
      </c>
      <c r="Z427" s="11" t="str">
        <f t="shared" si="6"/>
        <v/>
      </c>
    </row>
    <row r="428" spans="1:26" x14ac:dyDescent="0.3">
      <c r="A428" t="s">
        <v>427</v>
      </c>
      <c r="B428" t="s">
        <v>2178</v>
      </c>
      <c r="C428" t="s">
        <v>2179</v>
      </c>
      <c r="D428" t="s">
        <v>1014</v>
      </c>
      <c r="E428" t="s">
        <v>1019</v>
      </c>
      <c r="F428" t="s">
        <v>1081</v>
      </c>
      <c r="G428" t="s">
        <v>2180</v>
      </c>
      <c r="H428" s="13">
        <v>2083227</v>
      </c>
      <c r="I428" s="14">
        <v>18556070.550000001</v>
      </c>
      <c r="J428" t="s">
        <v>1052</v>
      </c>
      <c r="K428" s="10">
        <v>8.4388000000000005</v>
      </c>
      <c r="M428" s="10">
        <v>4.7355156603773567</v>
      </c>
      <c r="N428" s="10">
        <v>5.387389615384615</v>
      </c>
      <c r="O428" s="10">
        <v>5.740285384615385</v>
      </c>
      <c r="P428" s="10">
        <v>6.1051167307692271</v>
      </c>
      <c r="Q428" s="10">
        <v>6.5720917307692321</v>
      </c>
      <c r="R428" s="10">
        <v>6.9750271153846182</v>
      </c>
      <c r="S428" s="10">
        <v>7.3787811320754662</v>
      </c>
      <c r="T428" s="10">
        <v>7.7566663461538443</v>
      </c>
      <c r="U428" s="10">
        <v>8.1078280769230826</v>
      </c>
      <c r="V428" s="10">
        <v>8.4344794230769295</v>
      </c>
      <c r="W428" s="10">
        <v>8.3988646153846123</v>
      </c>
      <c r="X428" s="10">
        <v>8.428663018867919</v>
      </c>
      <c r="Y428" s="10">
        <v>8.4396802439024388</v>
      </c>
      <c r="Z428" s="11">
        <f t="shared" si="6"/>
        <v>0.20840576999999999</v>
      </c>
    </row>
    <row r="429" spans="1:26" x14ac:dyDescent="0.3">
      <c r="A429" t="s">
        <v>428</v>
      </c>
      <c r="B429" t="s">
        <v>2181</v>
      </c>
      <c r="C429" t="s">
        <v>2182</v>
      </c>
      <c r="D429" t="s">
        <v>1015</v>
      </c>
      <c r="E429" t="s">
        <v>1024</v>
      </c>
      <c r="F429" t="s">
        <v>2183</v>
      </c>
      <c r="G429" t="s">
        <v>2184</v>
      </c>
      <c r="H429" s="13">
        <v>53027</v>
      </c>
      <c r="I429" s="14">
        <v>18442448.68</v>
      </c>
      <c r="J429" t="s">
        <v>1052</v>
      </c>
      <c r="K429" s="10">
        <v>25.849</v>
      </c>
      <c r="Z429" s="11" t="str">
        <f t="shared" si="6"/>
        <v/>
      </c>
    </row>
    <row r="430" spans="1:26" x14ac:dyDescent="0.3">
      <c r="A430" t="s">
        <v>429</v>
      </c>
      <c r="B430" t="s">
        <v>2185</v>
      </c>
      <c r="C430" t="s">
        <v>2186</v>
      </c>
      <c r="D430" t="s">
        <v>1014</v>
      </c>
      <c r="E430" t="s">
        <v>1023</v>
      </c>
      <c r="F430" t="s">
        <v>1305</v>
      </c>
      <c r="G430" t="s">
        <v>2187</v>
      </c>
      <c r="H430" s="13">
        <v>203616</v>
      </c>
      <c r="I430" s="14">
        <v>18425394.370000001</v>
      </c>
      <c r="J430" t="s">
        <v>1052</v>
      </c>
      <c r="K430" s="10">
        <v>93.060689999999994</v>
      </c>
      <c r="V430" s="10">
        <v>82.690720000000042</v>
      </c>
      <c r="W430" s="10">
        <v>86.508859999999984</v>
      </c>
      <c r="X430" s="10">
        <v>90.517616792452856</v>
      </c>
      <c r="Y430" s="10">
        <v>92.808051951219483</v>
      </c>
      <c r="Z430" s="11" t="str">
        <f t="shared" si="6"/>
        <v/>
      </c>
    </row>
    <row r="431" spans="1:26" x14ac:dyDescent="0.3">
      <c r="A431" t="s">
        <v>430</v>
      </c>
      <c r="B431" t="s">
        <v>2188</v>
      </c>
      <c r="C431" t="s">
        <v>1617</v>
      </c>
      <c r="D431" t="s">
        <v>1015</v>
      </c>
      <c r="E431" t="s">
        <v>1030</v>
      </c>
      <c r="F431" t="s">
        <v>1485</v>
      </c>
      <c r="G431" t="s">
        <v>1619</v>
      </c>
      <c r="H431" s="13">
        <v>7304989</v>
      </c>
      <c r="I431" s="14">
        <v>18271322.98</v>
      </c>
      <c r="J431" t="s">
        <v>1052</v>
      </c>
      <c r="K431" s="10">
        <v>1.9822599999999999</v>
      </c>
      <c r="R431" s="10">
        <v>5.3324678378378376</v>
      </c>
      <c r="S431" s="10">
        <v>4.4437520754716981</v>
      </c>
      <c r="T431" s="10">
        <v>3.723454615384616</v>
      </c>
      <c r="U431" s="10">
        <v>3.286481923076924</v>
      </c>
      <c r="V431" s="10">
        <v>3.1368730769230768</v>
      </c>
      <c r="W431" s="10">
        <v>2.4652136538461522</v>
      </c>
      <c r="X431" s="10">
        <v>2.0139016981132078</v>
      </c>
      <c r="Y431" s="10">
        <v>2.0423968292682928</v>
      </c>
      <c r="Z431" s="11">
        <f t="shared" si="6"/>
        <v>-0.62233214000000003</v>
      </c>
    </row>
    <row r="432" spans="1:26" x14ac:dyDescent="0.3">
      <c r="A432" t="s">
        <v>431</v>
      </c>
      <c r="B432" t="s">
        <v>2189</v>
      </c>
      <c r="C432" t="s">
        <v>2190</v>
      </c>
      <c r="D432" t="s">
        <v>1015</v>
      </c>
      <c r="E432" t="s">
        <v>1019</v>
      </c>
      <c r="F432" t="s">
        <v>1123</v>
      </c>
      <c r="G432" t="s">
        <v>1323</v>
      </c>
      <c r="H432" s="13">
        <v>1741539.35</v>
      </c>
      <c r="I432" s="14">
        <v>18242746.859999999</v>
      </c>
      <c r="J432" t="s">
        <v>1061</v>
      </c>
      <c r="K432" s="10">
        <v>10.19937</v>
      </c>
      <c r="T432" s="10">
        <v>17.07909359999999</v>
      </c>
      <c r="U432" s="10">
        <v>10.293294807692311</v>
      </c>
      <c r="V432" s="10">
        <v>10.193999615384611</v>
      </c>
      <c r="W432" s="10">
        <v>10.200280961538461</v>
      </c>
      <c r="X432" s="10">
        <v>10.199105471698109</v>
      </c>
      <c r="Y432" s="10">
        <v>10.201425121951219</v>
      </c>
      <c r="Z432" s="11" t="str">
        <f t="shared" si="6"/>
        <v/>
      </c>
    </row>
    <row r="433" spans="1:26" x14ac:dyDescent="0.3">
      <c r="A433" t="s">
        <v>432</v>
      </c>
      <c r="B433" t="s">
        <v>2191</v>
      </c>
      <c r="C433" t="s">
        <v>2192</v>
      </c>
      <c r="D433" t="s">
        <v>1014</v>
      </c>
      <c r="E433" t="s">
        <v>1020</v>
      </c>
      <c r="F433" t="s">
        <v>1055</v>
      </c>
      <c r="G433" t="s">
        <v>2193</v>
      </c>
      <c r="H433" s="13">
        <v>435388</v>
      </c>
      <c r="I433" s="14">
        <v>18216183.960000001</v>
      </c>
      <c r="J433" t="s">
        <v>1052</v>
      </c>
      <c r="K433" s="10">
        <v>43.808709999999998</v>
      </c>
      <c r="R433" s="10">
        <v>29.2754512244898</v>
      </c>
      <c r="S433" s="10">
        <v>31.091789622641521</v>
      </c>
      <c r="T433" s="10">
        <v>33.461238461538443</v>
      </c>
      <c r="U433" s="10">
        <v>36.008801346153803</v>
      </c>
      <c r="V433" s="10">
        <v>37.923774423076893</v>
      </c>
      <c r="W433" s="10">
        <v>39.762210769230741</v>
      </c>
      <c r="X433" s="10">
        <v>41.699147924528297</v>
      </c>
      <c r="Y433" s="10">
        <v>43.746224390243903</v>
      </c>
      <c r="Z433" s="11">
        <f t="shared" si="6"/>
        <v>0.42437250999999998</v>
      </c>
    </row>
    <row r="434" spans="1:26" x14ac:dyDescent="0.3">
      <c r="A434" t="s">
        <v>433</v>
      </c>
      <c r="B434" t="s">
        <v>2194</v>
      </c>
      <c r="C434" t="s">
        <v>2195</v>
      </c>
      <c r="D434" t="s">
        <v>1014</v>
      </c>
      <c r="E434" t="s">
        <v>1027</v>
      </c>
      <c r="F434" t="s">
        <v>1857</v>
      </c>
      <c r="G434" t="s">
        <v>1858</v>
      </c>
      <c r="H434" s="13">
        <v>1204153</v>
      </c>
      <c r="I434" s="14">
        <v>18147098.710000001</v>
      </c>
      <c r="J434" t="s">
        <v>1052</v>
      </c>
      <c r="K434" s="10">
        <v>15.39302</v>
      </c>
      <c r="S434" s="10">
        <v>12.12424943396227</v>
      </c>
      <c r="T434" s="10">
        <v>12.744222692307689</v>
      </c>
      <c r="U434" s="10">
        <v>13.092629999999991</v>
      </c>
      <c r="V434" s="10">
        <v>13.815701538461539</v>
      </c>
      <c r="W434" s="10">
        <v>14.533892884615391</v>
      </c>
      <c r="X434" s="10">
        <v>14.98029094339622</v>
      </c>
      <c r="Y434" s="10">
        <v>15.39950902439025</v>
      </c>
      <c r="Z434" s="11" t="str">
        <f t="shared" si="6"/>
        <v/>
      </c>
    </row>
    <row r="435" spans="1:26" x14ac:dyDescent="0.3">
      <c r="A435" t="s">
        <v>434</v>
      </c>
      <c r="B435" t="s">
        <v>2196</v>
      </c>
      <c r="C435" t="s">
        <v>2197</v>
      </c>
      <c r="D435" t="s">
        <v>1014</v>
      </c>
      <c r="E435" t="s">
        <v>1027</v>
      </c>
      <c r="F435" t="s">
        <v>1270</v>
      </c>
      <c r="G435" t="s">
        <v>1799</v>
      </c>
      <c r="H435" s="13">
        <v>2641617.3080000002</v>
      </c>
      <c r="I435" s="14">
        <v>18118853.370000001</v>
      </c>
      <c r="J435" t="s">
        <v>1052</v>
      </c>
      <c r="K435" s="10">
        <v>6.8085500000000003</v>
      </c>
      <c r="M435" s="10">
        <v>6.9210592452830229</v>
      </c>
      <c r="N435" s="10">
        <v>6.9254492307692299</v>
      </c>
      <c r="O435" s="10">
        <v>6.9489055769230772</v>
      </c>
      <c r="P435" s="10">
        <v>6.8394592307692346</v>
      </c>
      <c r="Q435" s="10">
        <v>6.8315811538461526</v>
      </c>
      <c r="R435" s="10">
        <v>6.8426690384615423</v>
      </c>
      <c r="S435" s="10">
        <v>6.8340020754716946</v>
      </c>
      <c r="T435" s="10">
        <v>6.8191353846153788</v>
      </c>
      <c r="U435" s="10">
        <v>6.8362605769230758</v>
      </c>
      <c r="V435" s="10">
        <v>6.8196859615384637</v>
      </c>
      <c r="W435" s="10">
        <v>6.828690384615391</v>
      </c>
      <c r="X435" s="10">
        <v>6.8279592452830169</v>
      </c>
      <c r="Y435" s="10">
        <v>6.8114709756097618</v>
      </c>
      <c r="Z435" s="11">
        <f t="shared" si="6"/>
        <v>-2.1497199999999999E-3</v>
      </c>
    </row>
    <row r="436" spans="1:26" x14ac:dyDescent="0.3">
      <c r="A436" t="s">
        <v>435</v>
      </c>
      <c r="B436" t="s">
        <v>2198</v>
      </c>
      <c r="C436" t="s">
        <v>1392</v>
      </c>
      <c r="D436" t="s">
        <v>1015</v>
      </c>
      <c r="E436" t="s">
        <v>1032</v>
      </c>
      <c r="F436" t="s">
        <v>1363</v>
      </c>
      <c r="G436" t="s">
        <v>1393</v>
      </c>
      <c r="H436" s="13">
        <v>5354013.41</v>
      </c>
      <c r="I436" s="14">
        <v>18066384.890000001</v>
      </c>
      <c r="J436" t="s">
        <v>1163</v>
      </c>
      <c r="K436" s="10">
        <v>2.1200199999999998</v>
      </c>
      <c r="T436" s="10">
        <v>4.1590476470588236</v>
      </c>
      <c r="U436" s="10">
        <v>3.7577040384615379</v>
      </c>
      <c r="V436" s="10">
        <v>3.111507884615385</v>
      </c>
      <c r="W436" s="10">
        <v>2.7448038461538471</v>
      </c>
      <c r="X436" s="10">
        <v>2.2710094339622628</v>
      </c>
      <c r="Y436" s="10">
        <v>2.1431553658536591</v>
      </c>
      <c r="Z436" s="11" t="str">
        <f t="shared" si="6"/>
        <v/>
      </c>
    </row>
    <row r="437" spans="1:26" x14ac:dyDescent="0.3">
      <c r="A437" t="s">
        <v>436</v>
      </c>
      <c r="B437" t="s">
        <v>2199</v>
      </c>
      <c r="C437" t="s">
        <v>2200</v>
      </c>
      <c r="D437" t="s">
        <v>1015</v>
      </c>
      <c r="E437" t="s">
        <v>1030</v>
      </c>
      <c r="F437" t="s">
        <v>2108</v>
      </c>
      <c r="G437" t="s">
        <v>2201</v>
      </c>
      <c r="H437" s="13">
        <v>93283619.375</v>
      </c>
      <c r="I437" s="14">
        <v>17984262.98</v>
      </c>
      <c r="J437" t="s">
        <v>1052</v>
      </c>
      <c r="K437" s="10">
        <v>5.7290000000000001E-2</v>
      </c>
      <c r="T437" s="10">
        <v>7.9298604651162785E-2</v>
      </c>
      <c r="U437" s="10">
        <v>7.2392499999999957E-2</v>
      </c>
      <c r="V437" s="10">
        <v>6.9134423076923079E-2</v>
      </c>
      <c r="W437" s="10">
        <v>6.1246153846153853E-2</v>
      </c>
      <c r="X437" s="10">
        <v>5.9745660377358477E-2</v>
      </c>
      <c r="Y437" s="10">
        <v>5.6320000000000009E-2</v>
      </c>
      <c r="Z437" s="11" t="str">
        <f t="shared" si="6"/>
        <v/>
      </c>
    </row>
    <row r="438" spans="1:26" x14ac:dyDescent="0.3">
      <c r="A438" t="s">
        <v>437</v>
      </c>
      <c r="B438" t="s">
        <v>2202</v>
      </c>
      <c r="C438" t="s">
        <v>2203</v>
      </c>
      <c r="D438" t="s">
        <v>1014</v>
      </c>
      <c r="E438" t="s">
        <v>1025</v>
      </c>
      <c r="F438" t="s">
        <v>1123</v>
      </c>
      <c r="G438" t="s">
        <v>2204</v>
      </c>
      <c r="H438" s="13">
        <v>99529</v>
      </c>
      <c r="I438" s="14">
        <v>17784135.199999999</v>
      </c>
      <c r="J438" t="s">
        <v>1052</v>
      </c>
      <c r="K438" s="10">
        <v>184.66233</v>
      </c>
      <c r="X438" s="10">
        <v>179.46299188679239</v>
      </c>
      <c r="Y438" s="10">
        <v>184.53114658536589</v>
      </c>
      <c r="Z438" s="11" t="str">
        <f t="shared" si="6"/>
        <v/>
      </c>
    </row>
    <row r="439" spans="1:26" x14ac:dyDescent="0.3">
      <c r="A439" t="s">
        <v>438</v>
      </c>
      <c r="B439" t="s">
        <v>2205</v>
      </c>
      <c r="C439" t="s">
        <v>2206</v>
      </c>
      <c r="D439" t="s">
        <v>1014</v>
      </c>
      <c r="E439" t="s">
        <v>1027</v>
      </c>
      <c r="F439" t="s">
        <v>1857</v>
      </c>
      <c r="G439" t="s">
        <v>1858</v>
      </c>
      <c r="H439" s="13">
        <v>1171985</v>
      </c>
      <c r="I439" s="14">
        <v>17600059.640000001</v>
      </c>
      <c r="J439" t="s">
        <v>1052</v>
      </c>
      <c r="K439" s="10">
        <v>15.395960000000001</v>
      </c>
      <c r="U439" s="10">
        <v>13.08380615384616</v>
      </c>
      <c r="V439" s="10">
        <v>13.820514807692311</v>
      </c>
      <c r="W439" s="10">
        <v>14.53418653846154</v>
      </c>
      <c r="X439" s="10">
        <v>14.974322264150951</v>
      </c>
      <c r="Y439" s="10">
        <v>15.397146341463401</v>
      </c>
      <c r="Z439" s="11" t="str">
        <f t="shared" si="6"/>
        <v/>
      </c>
    </row>
    <row r="440" spans="1:26" x14ac:dyDescent="0.3">
      <c r="A440" t="s">
        <v>439</v>
      </c>
      <c r="B440" t="s">
        <v>2207</v>
      </c>
      <c r="C440" t="s">
        <v>2208</v>
      </c>
      <c r="D440" t="s">
        <v>1014</v>
      </c>
      <c r="E440" t="s">
        <v>1032</v>
      </c>
      <c r="F440" t="s">
        <v>1193</v>
      </c>
      <c r="G440" t="s">
        <v>2150</v>
      </c>
      <c r="H440" s="13">
        <v>2696942</v>
      </c>
      <c r="I440" s="14">
        <v>17520071.329999998</v>
      </c>
      <c r="J440" t="s">
        <v>1052</v>
      </c>
      <c r="K440" s="10">
        <v>6.4989499999999998</v>
      </c>
      <c r="M440" s="10">
        <v>4.2483933962264109</v>
      </c>
      <c r="N440" s="10">
        <v>4.4772365384615398</v>
      </c>
      <c r="O440" s="10">
        <v>4.7925807692307671</v>
      </c>
      <c r="P440" s="10">
        <v>5.1545311538461496</v>
      </c>
      <c r="Q440" s="10">
        <v>5.4537124999999964</v>
      </c>
      <c r="R440" s="10">
        <v>5.6182619230769211</v>
      </c>
      <c r="S440" s="10">
        <v>5.7826632075471691</v>
      </c>
      <c r="T440" s="10">
        <v>5.9567201923076958</v>
      </c>
      <c r="U440" s="10">
        <v>6.1274307692307657</v>
      </c>
      <c r="V440" s="10">
        <v>6.3200969230769246</v>
      </c>
      <c r="W440" s="10">
        <v>6.5072809615384646</v>
      </c>
      <c r="X440" s="10">
        <v>6.5090896226415111</v>
      </c>
      <c r="Y440" s="10">
        <v>6.504091951219511</v>
      </c>
      <c r="Z440" s="11">
        <f t="shared" si="6"/>
        <v>0.15855929999999999</v>
      </c>
    </row>
    <row r="441" spans="1:26" x14ac:dyDescent="0.3">
      <c r="A441" t="s">
        <v>440</v>
      </c>
      <c r="B441" t="s">
        <v>2209</v>
      </c>
      <c r="C441" t="s">
        <v>2210</v>
      </c>
      <c r="D441" t="s">
        <v>1014</v>
      </c>
      <c r="E441" t="s">
        <v>1027</v>
      </c>
      <c r="F441" t="s">
        <v>2211</v>
      </c>
      <c r="G441" t="s">
        <v>2212</v>
      </c>
      <c r="H441" s="13">
        <v>302726</v>
      </c>
      <c r="I441" s="14">
        <v>17502367.809999999</v>
      </c>
      <c r="J441" t="s">
        <v>1052</v>
      </c>
      <c r="K441" s="10">
        <v>60.00994</v>
      </c>
      <c r="P441" s="10">
        <v>31.744091818181829</v>
      </c>
      <c r="Q441" s="10">
        <v>34.337625384615379</v>
      </c>
      <c r="R441" s="10">
        <v>37.226474489795933</v>
      </c>
      <c r="S441" s="10">
        <v>41.025960754716969</v>
      </c>
      <c r="T441" s="10">
        <v>48.3787448076923</v>
      </c>
      <c r="U441" s="10">
        <v>52.70417384615385</v>
      </c>
      <c r="V441" s="10">
        <v>55.326017692307673</v>
      </c>
      <c r="W441" s="10">
        <v>56.441605192307698</v>
      </c>
      <c r="X441" s="10">
        <v>57.686539245283051</v>
      </c>
      <c r="Y441" s="10">
        <v>59.743419024390228</v>
      </c>
      <c r="Z441" s="11">
        <f t="shared" si="6"/>
        <v>0.54961059000000001</v>
      </c>
    </row>
    <row r="442" spans="1:26" x14ac:dyDescent="0.3">
      <c r="A442" t="s">
        <v>441</v>
      </c>
      <c r="B442" t="s">
        <v>2213</v>
      </c>
      <c r="C442" t="s">
        <v>2214</v>
      </c>
      <c r="D442" t="s">
        <v>1014</v>
      </c>
      <c r="E442" t="s">
        <v>1022</v>
      </c>
      <c r="F442" t="s">
        <v>1511</v>
      </c>
      <c r="G442" t="s">
        <v>1512</v>
      </c>
      <c r="H442" s="13">
        <v>736703</v>
      </c>
      <c r="I442" s="14">
        <v>17350302.07</v>
      </c>
      <c r="J442" t="s">
        <v>1052</v>
      </c>
      <c r="K442" s="10">
        <v>24.318529999999999</v>
      </c>
      <c r="W442" s="10">
        <v>22.73241607142857</v>
      </c>
      <c r="X442" s="10">
        <v>23.431251132075449</v>
      </c>
      <c r="Y442" s="10">
        <v>24.350933414634149</v>
      </c>
      <c r="Z442" s="11" t="str">
        <f t="shared" si="6"/>
        <v/>
      </c>
    </row>
    <row r="443" spans="1:26" x14ac:dyDescent="0.3">
      <c r="A443" t="s">
        <v>442</v>
      </c>
      <c r="B443" t="s">
        <v>2215</v>
      </c>
      <c r="C443" t="s">
        <v>1398</v>
      </c>
      <c r="D443" t="s">
        <v>1014</v>
      </c>
      <c r="E443" t="s">
        <v>1027</v>
      </c>
      <c r="F443" t="s">
        <v>1399</v>
      </c>
      <c r="G443" t="s">
        <v>1400</v>
      </c>
      <c r="H443" s="13">
        <v>1426255</v>
      </c>
      <c r="I443" s="14">
        <v>17274246.34</v>
      </c>
      <c r="J443" t="s">
        <v>1052</v>
      </c>
      <c r="K443" s="10">
        <v>12.73799</v>
      </c>
      <c r="V443" s="10">
        <v>10.723686538461539</v>
      </c>
      <c r="W443" s="10">
        <v>11.369951346153851</v>
      </c>
      <c r="X443" s="10">
        <v>12.04732339622641</v>
      </c>
      <c r="Y443" s="10">
        <v>12.74736317073171</v>
      </c>
      <c r="Z443" s="11" t="str">
        <f t="shared" si="6"/>
        <v/>
      </c>
    </row>
    <row r="444" spans="1:26" x14ac:dyDescent="0.3">
      <c r="A444" t="s">
        <v>443</v>
      </c>
      <c r="B444" t="s">
        <v>2216</v>
      </c>
      <c r="C444" t="s">
        <v>2217</v>
      </c>
      <c r="D444" t="s">
        <v>1014</v>
      </c>
      <c r="E444" t="s">
        <v>1019</v>
      </c>
      <c r="F444" t="s">
        <v>1064</v>
      </c>
      <c r="G444" t="s">
        <v>2218</v>
      </c>
      <c r="H444" s="13">
        <v>195146.55</v>
      </c>
      <c r="I444" s="14">
        <v>17132032.98</v>
      </c>
      <c r="J444" t="s">
        <v>1061</v>
      </c>
      <c r="K444" s="10">
        <v>87.81962</v>
      </c>
      <c r="M444" s="10">
        <v>60.772672173913051</v>
      </c>
      <c r="N444" s="10">
        <v>68.098410192307654</v>
      </c>
      <c r="O444" s="10">
        <v>75.963819230769261</v>
      </c>
      <c r="P444" s="10">
        <v>83.309696153846161</v>
      </c>
      <c r="Q444" s="10">
        <v>89.313833846153912</v>
      </c>
      <c r="R444" s="10">
        <v>98.196957692307706</v>
      </c>
      <c r="S444" s="10">
        <v>103.06414150943399</v>
      </c>
      <c r="T444" s="10">
        <v>108.0567380769231</v>
      </c>
      <c r="U444" s="10">
        <v>113.4172300000001</v>
      </c>
      <c r="V444" s="10">
        <v>119.28140884615379</v>
      </c>
      <c r="W444" s="10">
        <v>88.029147499999993</v>
      </c>
      <c r="X444" s="10">
        <v>87.507896037735833</v>
      </c>
      <c r="Y444" s="10">
        <v>87.832380975609723</v>
      </c>
      <c r="Z444" s="11">
        <f t="shared" si="6"/>
        <v>-0.10885329000000001</v>
      </c>
    </row>
    <row r="445" spans="1:26" x14ac:dyDescent="0.3">
      <c r="A445" t="s">
        <v>444</v>
      </c>
      <c r="B445" t="s">
        <v>2219</v>
      </c>
      <c r="C445" t="s">
        <v>2220</v>
      </c>
      <c r="D445" t="s">
        <v>1015</v>
      </c>
      <c r="E445" t="s">
        <v>1019</v>
      </c>
      <c r="F445" t="s">
        <v>1954</v>
      </c>
      <c r="G445" t="s">
        <v>1955</v>
      </c>
      <c r="H445" s="13">
        <v>675561</v>
      </c>
      <c r="I445" s="14">
        <v>17046442.640000001</v>
      </c>
      <c r="J445" t="s">
        <v>1052</v>
      </c>
      <c r="K445" s="10">
        <v>14.605</v>
      </c>
      <c r="Y445" s="10">
        <v>14.605000000000009</v>
      </c>
      <c r="Z445" s="11" t="str">
        <f t="shared" si="6"/>
        <v/>
      </c>
    </row>
    <row r="446" spans="1:26" x14ac:dyDescent="0.3">
      <c r="A446" t="s">
        <v>445</v>
      </c>
      <c r="B446" t="s">
        <v>2221</v>
      </c>
      <c r="C446" t="s">
        <v>2222</v>
      </c>
      <c r="D446" t="s">
        <v>1015</v>
      </c>
      <c r="E446" t="s">
        <v>1026</v>
      </c>
      <c r="F446" t="s">
        <v>1941</v>
      </c>
      <c r="G446" t="s">
        <v>2223</v>
      </c>
      <c r="H446" s="13">
        <v>122104930.87</v>
      </c>
      <c r="I446" s="14">
        <v>16997178.82</v>
      </c>
      <c r="J446" t="s">
        <v>1061</v>
      </c>
      <c r="K446" s="10">
        <v>7.5370000000000006E-2</v>
      </c>
      <c r="M446" s="10">
        <v>7.3894339622641469E-2</v>
      </c>
      <c r="N446" s="10">
        <v>7.4347115384615345E-2</v>
      </c>
      <c r="O446" s="10">
        <v>7.6329423076923072E-2</v>
      </c>
      <c r="P446" s="10">
        <v>7.0806923076923059E-2</v>
      </c>
      <c r="Q446" s="10">
        <v>6.2169807692307691E-2</v>
      </c>
      <c r="R446" s="10">
        <v>7.5788846153846151E-2</v>
      </c>
      <c r="S446" s="10">
        <v>0.10271981132075469</v>
      </c>
      <c r="T446" s="10">
        <v>9.8388269230769224E-2</v>
      </c>
      <c r="U446" s="10">
        <v>9.696711538461536E-2</v>
      </c>
      <c r="V446" s="10">
        <v>9.5408461538461511E-2</v>
      </c>
      <c r="W446" s="10">
        <v>9.6410769230769217E-2</v>
      </c>
      <c r="X446" s="10">
        <v>8.9283773584905662E-2</v>
      </c>
      <c r="Y446" s="10">
        <v>7.9274146341463389E-2</v>
      </c>
      <c r="Z446" s="11">
        <f t="shared" si="6"/>
        <v>0.17805953999999999</v>
      </c>
    </row>
    <row r="447" spans="1:26" x14ac:dyDescent="0.3">
      <c r="A447" t="s">
        <v>446</v>
      </c>
      <c r="B447" t="s">
        <v>2224</v>
      </c>
      <c r="C447" t="s">
        <v>2225</v>
      </c>
      <c r="D447" t="s">
        <v>1014</v>
      </c>
      <c r="E447" t="s">
        <v>1026</v>
      </c>
      <c r="F447" t="s">
        <v>1305</v>
      </c>
      <c r="G447" t="s">
        <v>2226</v>
      </c>
      <c r="H447" s="13">
        <v>68999</v>
      </c>
      <c r="I447" s="14">
        <v>16992807.690000001</v>
      </c>
      <c r="J447" t="s">
        <v>1052</v>
      </c>
      <c r="K447" s="10">
        <v>248.37853999999999</v>
      </c>
      <c r="M447" s="10">
        <v>146.580811509434</v>
      </c>
      <c r="N447" s="10">
        <v>159.8470859615384</v>
      </c>
      <c r="O447" s="10">
        <v>166.96910769230749</v>
      </c>
      <c r="P447" s="10">
        <v>176.72140192307691</v>
      </c>
      <c r="Q447" s="10">
        <v>176.1274153846154</v>
      </c>
      <c r="R447" s="10">
        <v>184.83727615384609</v>
      </c>
      <c r="S447" s="10">
        <v>194.23808452830201</v>
      </c>
      <c r="T447" s="10">
        <v>204.12945134615401</v>
      </c>
      <c r="U447" s="10">
        <v>214.32994961538449</v>
      </c>
      <c r="V447" s="10">
        <v>224.8318092307691</v>
      </c>
      <c r="W447" s="10">
        <v>238.4570196153847</v>
      </c>
      <c r="X447" s="10">
        <v>248.73858075471691</v>
      </c>
      <c r="Y447" s="10">
        <v>248.61798414634151</v>
      </c>
      <c r="Z447" s="11">
        <f t="shared" si="6"/>
        <v>0.34571655000000001</v>
      </c>
    </row>
    <row r="448" spans="1:26" x14ac:dyDescent="0.3">
      <c r="A448" t="s">
        <v>447</v>
      </c>
      <c r="B448" t="s">
        <v>2227</v>
      </c>
      <c r="C448" t="s">
        <v>1674</v>
      </c>
      <c r="D448" t="s">
        <v>1016</v>
      </c>
      <c r="E448" t="s">
        <v>1030</v>
      </c>
      <c r="F448" t="s">
        <v>1675</v>
      </c>
      <c r="G448" t="s">
        <v>1676</v>
      </c>
      <c r="H448" s="13">
        <v>295821</v>
      </c>
      <c r="I448" s="14">
        <v>16654469.039999999</v>
      </c>
      <c r="J448" t="s">
        <v>1052</v>
      </c>
      <c r="K448" s="10">
        <v>31.66667</v>
      </c>
      <c r="Y448" s="10">
        <v>31.66667</v>
      </c>
      <c r="Z448" s="11" t="str">
        <f t="shared" si="6"/>
        <v/>
      </c>
    </row>
    <row r="449" spans="1:26" x14ac:dyDescent="0.3">
      <c r="A449" t="s">
        <v>448</v>
      </c>
      <c r="B449" t="s">
        <v>2228</v>
      </c>
      <c r="C449" t="s">
        <v>2229</v>
      </c>
      <c r="D449" t="s">
        <v>1014</v>
      </c>
      <c r="E449" t="s">
        <v>1027</v>
      </c>
      <c r="F449" t="s">
        <v>1241</v>
      </c>
      <c r="G449" t="s">
        <v>1403</v>
      </c>
      <c r="H449" s="13">
        <v>713096</v>
      </c>
      <c r="I449" s="14">
        <v>16651027.060000001</v>
      </c>
      <c r="J449" t="s">
        <v>1052</v>
      </c>
      <c r="K449" s="10">
        <v>24.06598</v>
      </c>
      <c r="S449" s="10">
        <v>18.901816603773579</v>
      </c>
      <c r="T449" s="10">
        <v>19.417851538461541</v>
      </c>
      <c r="U449" s="10">
        <v>20.65677730769232</v>
      </c>
      <c r="V449" s="10">
        <v>21.858440769230761</v>
      </c>
      <c r="W449" s="10">
        <v>22.879683076923079</v>
      </c>
      <c r="X449" s="10">
        <v>23.436369245283</v>
      </c>
      <c r="Y449" s="10">
        <v>24.057422195121951</v>
      </c>
      <c r="Z449" s="11" t="str">
        <f t="shared" si="6"/>
        <v/>
      </c>
    </row>
    <row r="450" spans="1:26" x14ac:dyDescent="0.3">
      <c r="A450" t="s">
        <v>449</v>
      </c>
      <c r="B450" t="s">
        <v>2230</v>
      </c>
      <c r="C450" t="s">
        <v>2231</v>
      </c>
      <c r="D450" t="s">
        <v>1015</v>
      </c>
      <c r="E450" t="s">
        <v>1022</v>
      </c>
      <c r="F450" t="s">
        <v>2108</v>
      </c>
      <c r="G450" t="s">
        <v>2232</v>
      </c>
      <c r="H450" s="13">
        <v>68472368</v>
      </c>
      <c r="I450" s="14">
        <v>16603998.4</v>
      </c>
      <c r="J450" t="s">
        <v>1052</v>
      </c>
      <c r="K450" s="10">
        <v>3.5770000000000003E-2</v>
      </c>
      <c r="N450" s="10">
        <v>0.1006917647058823</v>
      </c>
      <c r="O450" s="10">
        <v>7.9246730769230778E-2</v>
      </c>
      <c r="P450" s="10">
        <v>6.8453269230769193E-2</v>
      </c>
      <c r="Q450" s="10">
        <v>6.2163653846153841E-2</v>
      </c>
      <c r="R450" s="10">
        <v>6.5428076923076922E-2</v>
      </c>
      <c r="S450" s="10">
        <v>6.2802075471698138E-2</v>
      </c>
      <c r="T450" s="10">
        <v>6.1686346153846168E-2</v>
      </c>
      <c r="U450" s="10">
        <v>6.1549423076923078E-2</v>
      </c>
      <c r="V450" s="10">
        <v>5.5747115384615367E-2</v>
      </c>
      <c r="W450" s="10">
        <v>4.9487115384615379E-2</v>
      </c>
      <c r="X450" s="10">
        <v>3.7334716981132082E-2</v>
      </c>
      <c r="Y450" s="10">
        <v>3.5720487804878069E-2</v>
      </c>
      <c r="Z450" s="11">
        <f t="shared" ref="Z450:Z513" si="7">IF(AND(ISNUMBER(INDEX($L450:$Y450,MATCH(BaseYear,p_years,0))),ISNUMBER(INDEX($L450:$Y450,MATCH(EndYear,p_years,0)))),ROUND(INDEX($L450:$Y450,MATCH(EndYear,p_years,0))/INDEX($L450:$Y450,MATCH(BaseYear,p_years,0))-1,8),"")</f>
        <v>-0.42937774000000001</v>
      </c>
    </row>
    <row r="451" spans="1:26" x14ac:dyDescent="0.3">
      <c r="A451" t="s">
        <v>450</v>
      </c>
      <c r="B451" t="s">
        <v>2233</v>
      </c>
      <c r="C451" t="s">
        <v>2038</v>
      </c>
      <c r="D451" t="s">
        <v>1015</v>
      </c>
      <c r="E451" t="s">
        <v>1022</v>
      </c>
      <c r="F451" t="s">
        <v>2234</v>
      </c>
      <c r="G451" t="s">
        <v>2040</v>
      </c>
      <c r="H451" s="13">
        <v>25879828.201000001</v>
      </c>
      <c r="I451" s="14">
        <v>16600663.77</v>
      </c>
      <c r="J451" t="s">
        <v>1052</v>
      </c>
      <c r="K451" s="10">
        <v>0.11992</v>
      </c>
      <c r="N451" s="10">
        <v>0.5563423404255321</v>
      </c>
      <c r="O451" s="10">
        <v>0.40864173076923072</v>
      </c>
      <c r="P451" s="10">
        <v>0.33845442307692308</v>
      </c>
      <c r="Q451" s="10">
        <v>0.29632461538461541</v>
      </c>
      <c r="R451" s="10">
        <v>0.25899096153846152</v>
      </c>
      <c r="S451" s="10">
        <v>0.25855075471698119</v>
      </c>
      <c r="T451" s="10">
        <v>0.23269750000000011</v>
      </c>
      <c r="U451" s="10">
        <v>0.2245242307692307</v>
      </c>
      <c r="V451" s="10">
        <v>0.18892596153846161</v>
      </c>
      <c r="W451" s="10">
        <v>0.17546673076923081</v>
      </c>
      <c r="X451" s="10">
        <v>0.16603264150943389</v>
      </c>
      <c r="Y451" s="10">
        <v>0.13684512195121951</v>
      </c>
      <c r="Z451" s="11">
        <f t="shared" si="7"/>
        <v>-0.35892496000000002</v>
      </c>
    </row>
    <row r="452" spans="1:26" x14ac:dyDescent="0.3">
      <c r="A452" t="s">
        <v>451</v>
      </c>
      <c r="B452" t="s">
        <v>2235</v>
      </c>
      <c r="C452" t="s">
        <v>2236</v>
      </c>
      <c r="D452" t="s">
        <v>1014</v>
      </c>
      <c r="E452" t="s">
        <v>1030</v>
      </c>
      <c r="F452" t="s">
        <v>1110</v>
      </c>
      <c r="G452" t="s">
        <v>1111</v>
      </c>
      <c r="H452" s="13">
        <v>3277114</v>
      </c>
      <c r="I452" s="14">
        <v>16518938.189999999</v>
      </c>
      <c r="J452" t="s">
        <v>1052</v>
      </c>
      <c r="K452" s="10">
        <v>4.7852300000000003</v>
      </c>
      <c r="M452" s="10">
        <v>3.806392075471698</v>
      </c>
      <c r="N452" s="10">
        <v>3.799008269230769</v>
      </c>
      <c r="O452" s="10">
        <v>3.98471596153846</v>
      </c>
      <c r="P452" s="10">
        <v>4.153931153846151</v>
      </c>
      <c r="Q452" s="10">
        <v>4.3573519230769211</v>
      </c>
      <c r="R452" s="10">
        <v>4.5826280769230809</v>
      </c>
      <c r="S452" s="10">
        <v>4.7971562264150931</v>
      </c>
      <c r="T452" s="10">
        <v>4.7991255769230783</v>
      </c>
      <c r="U452" s="10">
        <v>4.7903667307692306</v>
      </c>
      <c r="V452" s="10">
        <v>4.7933890384615419</v>
      </c>
      <c r="W452" s="10">
        <v>4.8015846153846189</v>
      </c>
      <c r="X452" s="10">
        <v>4.7972603773584916</v>
      </c>
      <c r="Y452" s="10">
        <v>4.7861502439024406</v>
      </c>
      <c r="Z452" s="11">
        <f t="shared" si="7"/>
        <v>4.683607E-2</v>
      </c>
    </row>
    <row r="453" spans="1:26" x14ac:dyDescent="0.3">
      <c r="A453" t="s">
        <v>452</v>
      </c>
      <c r="B453" t="s">
        <v>2237</v>
      </c>
      <c r="C453" t="s">
        <v>2238</v>
      </c>
      <c r="D453" t="s">
        <v>1015</v>
      </c>
      <c r="E453" t="s">
        <v>1026</v>
      </c>
      <c r="F453" t="s">
        <v>1608</v>
      </c>
      <c r="G453" t="s">
        <v>2239</v>
      </c>
      <c r="H453" s="13">
        <v>247320527.692</v>
      </c>
      <c r="I453" s="14">
        <v>16505271.35</v>
      </c>
      <c r="J453" t="s">
        <v>1061</v>
      </c>
      <c r="K453" s="10">
        <v>3.3829999999999999E-2</v>
      </c>
      <c r="M453" s="10">
        <v>2.4785283018867951E-2</v>
      </c>
      <c r="N453" s="10">
        <v>2.4150384615384601E-2</v>
      </c>
      <c r="O453" s="10">
        <v>2.7514807692307679E-2</v>
      </c>
      <c r="P453" s="10">
        <v>2.329403846153847E-2</v>
      </c>
      <c r="Q453" s="10">
        <v>2.1822884615384609E-2</v>
      </c>
      <c r="R453" s="10">
        <v>2.085480769230769E-2</v>
      </c>
      <c r="S453" s="10">
        <v>2.1094716981132071E-2</v>
      </c>
      <c r="T453" s="10">
        <v>2.2304038461538458E-2</v>
      </c>
      <c r="U453" s="10">
        <v>2.3523846153846149E-2</v>
      </c>
      <c r="V453" s="10">
        <v>2.8309615384615391E-2</v>
      </c>
      <c r="W453" s="10">
        <v>3.194942307692307E-2</v>
      </c>
      <c r="X453" s="10">
        <v>3.3829433962264163E-2</v>
      </c>
      <c r="Y453" s="10">
        <v>3.4007317073170742E-2</v>
      </c>
      <c r="Z453" s="11">
        <f t="shared" si="7"/>
        <v>0.62214077999999995</v>
      </c>
    </row>
    <row r="454" spans="1:26" x14ac:dyDescent="0.3">
      <c r="A454" t="s">
        <v>453</v>
      </c>
      <c r="B454" t="s">
        <v>2240</v>
      </c>
      <c r="C454" t="s">
        <v>2241</v>
      </c>
      <c r="D454" t="s">
        <v>1014</v>
      </c>
      <c r="E454" t="s">
        <v>1027</v>
      </c>
      <c r="F454" t="s">
        <v>1110</v>
      </c>
      <c r="G454" t="s">
        <v>2242</v>
      </c>
      <c r="H454" s="13">
        <v>5980.09</v>
      </c>
      <c r="I454" s="14">
        <v>16440055.67</v>
      </c>
      <c r="J454" t="s">
        <v>1052</v>
      </c>
      <c r="K454" s="10">
        <v>2764.7049999999999</v>
      </c>
      <c r="V454" s="10">
        <v>2639.3240000000001</v>
      </c>
      <c r="W454" s="10">
        <v>2766.9841190384609</v>
      </c>
      <c r="X454" s="10">
        <v>2770.8962658490559</v>
      </c>
      <c r="Y454" s="10">
        <v>2769.2017031707319</v>
      </c>
      <c r="Z454" s="11" t="str">
        <f t="shared" si="7"/>
        <v/>
      </c>
    </row>
    <row r="455" spans="1:26" x14ac:dyDescent="0.3">
      <c r="A455" t="s">
        <v>454</v>
      </c>
      <c r="B455" t="s">
        <v>2243</v>
      </c>
      <c r="C455" t="s">
        <v>2078</v>
      </c>
      <c r="D455" t="s">
        <v>1015</v>
      </c>
      <c r="E455" t="s">
        <v>1020</v>
      </c>
      <c r="F455" t="s">
        <v>2244</v>
      </c>
      <c r="G455" t="s">
        <v>2080</v>
      </c>
      <c r="H455" s="13">
        <v>13201145.66</v>
      </c>
      <c r="I455" s="14">
        <v>16434342</v>
      </c>
      <c r="J455" t="s">
        <v>1052</v>
      </c>
      <c r="K455" s="10">
        <v>0.11361</v>
      </c>
      <c r="O455" s="10">
        <v>0.23792884615384621</v>
      </c>
      <c r="P455" s="10">
        <v>0.1690863461538461</v>
      </c>
      <c r="Q455" s="10">
        <v>0.13691423076923079</v>
      </c>
      <c r="R455" s="10">
        <v>0.1552325</v>
      </c>
      <c r="S455" s="10">
        <v>0.16594264150943391</v>
      </c>
      <c r="T455" s="10">
        <v>0.14717442307692311</v>
      </c>
      <c r="U455" s="10">
        <v>0.13935557692307701</v>
      </c>
      <c r="V455" s="10">
        <v>0.13400980769230769</v>
      </c>
      <c r="W455" s="10">
        <v>0.1180398076923076</v>
      </c>
      <c r="X455" s="10">
        <v>0.11625962264150939</v>
      </c>
      <c r="Y455" s="10">
        <v>0.1146770731707317</v>
      </c>
      <c r="Z455" s="11">
        <f t="shared" si="7"/>
        <v>-0.25106133000000003</v>
      </c>
    </row>
    <row r="456" spans="1:26" x14ac:dyDescent="0.3">
      <c r="A456" t="s">
        <v>455</v>
      </c>
      <c r="B456" t="s">
        <v>2245</v>
      </c>
      <c r="C456" t="s">
        <v>2246</v>
      </c>
      <c r="D456" t="s">
        <v>1014</v>
      </c>
      <c r="E456" t="s">
        <v>1027</v>
      </c>
      <c r="F456" t="s">
        <v>1925</v>
      </c>
      <c r="G456" t="s">
        <v>1926</v>
      </c>
      <c r="H456" s="13">
        <v>285804</v>
      </c>
      <c r="I456" s="14">
        <v>16429857.23</v>
      </c>
      <c r="J456" t="s">
        <v>1052</v>
      </c>
      <c r="K456" s="10">
        <v>59.81597</v>
      </c>
      <c r="M456" s="10">
        <v>16.095880000000001</v>
      </c>
      <c r="N456" s="10">
        <v>21.457030192307698</v>
      </c>
      <c r="O456" s="10">
        <v>27.571065961538469</v>
      </c>
      <c r="P456" s="10">
        <v>31.13267769230767</v>
      </c>
      <c r="Q456" s="10">
        <v>35.068632115384638</v>
      </c>
      <c r="R456" s="10">
        <v>38.555945769230753</v>
      </c>
      <c r="S456" s="10">
        <v>41.949798490566039</v>
      </c>
      <c r="T456" s="10">
        <v>46.109860961538452</v>
      </c>
      <c r="U456" s="10">
        <v>48.617900000000013</v>
      </c>
      <c r="V456" s="10">
        <v>52.750419999999991</v>
      </c>
      <c r="W456" s="10">
        <v>57.217924615384618</v>
      </c>
      <c r="X456" s="10">
        <v>59.986342641509431</v>
      </c>
      <c r="Y456" s="10">
        <v>59.901603658536601</v>
      </c>
      <c r="Z456" s="11">
        <f t="shared" si="7"/>
        <v>0.55582598999999999</v>
      </c>
    </row>
    <row r="457" spans="1:26" x14ac:dyDescent="0.3">
      <c r="A457" t="s">
        <v>456</v>
      </c>
      <c r="B457" t="s">
        <v>2247</v>
      </c>
      <c r="C457" t="s">
        <v>2248</v>
      </c>
      <c r="D457" t="s">
        <v>1014</v>
      </c>
      <c r="E457" t="s">
        <v>1030</v>
      </c>
      <c r="F457" t="s">
        <v>1485</v>
      </c>
      <c r="G457" t="s">
        <v>2249</v>
      </c>
      <c r="H457" s="13">
        <v>1063584</v>
      </c>
      <c r="I457" s="14">
        <v>16384658.869999999</v>
      </c>
      <c r="J457" t="s">
        <v>1052</v>
      </c>
      <c r="K457" s="10">
        <v>15.646739999999999</v>
      </c>
      <c r="W457" s="10">
        <v>15.712923095238089</v>
      </c>
      <c r="X457" s="10">
        <v>15.722821886792451</v>
      </c>
      <c r="Y457" s="10">
        <v>15.663968780487799</v>
      </c>
      <c r="Z457" s="11" t="str">
        <f t="shared" si="7"/>
        <v/>
      </c>
    </row>
    <row r="458" spans="1:26" x14ac:dyDescent="0.3">
      <c r="A458" t="s">
        <v>457</v>
      </c>
      <c r="B458" t="s">
        <v>2250</v>
      </c>
      <c r="C458" t="s">
        <v>2251</v>
      </c>
      <c r="D458" t="s">
        <v>1015</v>
      </c>
      <c r="E458" t="s">
        <v>1025</v>
      </c>
      <c r="F458" t="s">
        <v>2171</v>
      </c>
      <c r="G458" t="s">
        <v>2252</v>
      </c>
      <c r="H458" s="13">
        <v>21958409.756000001</v>
      </c>
      <c r="I458" s="14">
        <v>16374495.529999999</v>
      </c>
      <c r="J458" t="s">
        <v>1061</v>
      </c>
      <c r="K458" s="10">
        <v>0.56759999999999999</v>
      </c>
      <c r="W458" s="10">
        <v>0.56776054054054037</v>
      </c>
      <c r="X458" s="10">
        <v>0.59911754716981147</v>
      </c>
      <c r="Y458" s="10">
        <v>0.56924097560975628</v>
      </c>
      <c r="Z458" s="11" t="str">
        <f t="shared" si="7"/>
        <v/>
      </c>
    </row>
    <row r="459" spans="1:26" x14ac:dyDescent="0.3">
      <c r="A459" t="s">
        <v>458</v>
      </c>
      <c r="B459" t="s">
        <v>2253</v>
      </c>
      <c r="C459" t="s">
        <v>2254</v>
      </c>
      <c r="D459" t="s">
        <v>1014</v>
      </c>
      <c r="E459" t="s">
        <v>1032</v>
      </c>
      <c r="F459" t="s">
        <v>1193</v>
      </c>
      <c r="G459" t="s">
        <v>2255</v>
      </c>
      <c r="H459" s="13">
        <v>2397331</v>
      </c>
      <c r="I459" s="14">
        <v>16349390.640000001</v>
      </c>
      <c r="J459" t="s">
        <v>1052</v>
      </c>
      <c r="K459" s="10">
        <v>6.6467499999999999</v>
      </c>
      <c r="N459" s="10">
        <v>4.3646348275862072</v>
      </c>
      <c r="O459" s="10">
        <v>4.8021517307692339</v>
      </c>
      <c r="P459" s="10">
        <v>5.0871765384615362</v>
      </c>
      <c r="Q459" s="10">
        <v>5.3887644230769212</v>
      </c>
      <c r="R459" s="10">
        <v>5.5590228846153842</v>
      </c>
      <c r="S459" s="10">
        <v>5.710659811320757</v>
      </c>
      <c r="T459" s="10">
        <v>5.8801023076923062</v>
      </c>
      <c r="U459" s="10">
        <v>6.2017446153846167</v>
      </c>
      <c r="V459" s="10">
        <v>6.6678588461538446</v>
      </c>
      <c r="W459" s="10">
        <v>6.6664034615384633</v>
      </c>
      <c r="X459" s="10">
        <v>6.6618192452830209</v>
      </c>
      <c r="Y459" s="10">
        <v>6.6538034146341483</v>
      </c>
      <c r="Z459" s="11">
        <f t="shared" si="7"/>
        <v>0.19837953</v>
      </c>
    </row>
    <row r="460" spans="1:26" x14ac:dyDescent="0.3">
      <c r="A460" t="s">
        <v>459</v>
      </c>
      <c r="B460" t="s">
        <v>2256</v>
      </c>
      <c r="C460" t="s">
        <v>2257</v>
      </c>
      <c r="D460" t="s">
        <v>1014</v>
      </c>
      <c r="E460" t="s">
        <v>1032</v>
      </c>
      <c r="F460" t="s">
        <v>1193</v>
      </c>
      <c r="G460" t="s">
        <v>1627</v>
      </c>
      <c r="H460" s="13">
        <v>796997</v>
      </c>
      <c r="I460" s="14">
        <v>16331256.25</v>
      </c>
      <c r="J460" t="s">
        <v>1163</v>
      </c>
      <c r="K460" s="10">
        <v>19.975200000000001</v>
      </c>
      <c r="M460" s="10">
        <v>18.369287169811329</v>
      </c>
      <c r="N460" s="10">
        <v>19.7290475</v>
      </c>
      <c r="O460" s="10">
        <v>21.69384826923077</v>
      </c>
      <c r="P460" s="10">
        <v>23.21860961538464</v>
      </c>
      <c r="Q460" s="10">
        <v>25.269224230769218</v>
      </c>
      <c r="R460" s="10">
        <v>25.329170961538459</v>
      </c>
      <c r="S460" s="10">
        <v>25.328463018867929</v>
      </c>
      <c r="T460" s="10">
        <v>26.120575576923098</v>
      </c>
      <c r="U460" s="10">
        <v>26.15017076923078</v>
      </c>
      <c r="V460" s="10">
        <v>26.009728846153841</v>
      </c>
      <c r="W460" s="10">
        <v>20.033861538461551</v>
      </c>
      <c r="X460" s="10">
        <v>20.010622452830169</v>
      </c>
      <c r="Y460" s="10">
        <v>19.977609268292689</v>
      </c>
      <c r="Z460" s="11">
        <f t="shared" si="7"/>
        <v>-0.2099772</v>
      </c>
    </row>
    <row r="461" spans="1:26" x14ac:dyDescent="0.3">
      <c r="A461" t="s">
        <v>460</v>
      </c>
      <c r="B461" t="s">
        <v>2258</v>
      </c>
      <c r="C461" t="s">
        <v>2259</v>
      </c>
      <c r="D461" t="s">
        <v>1014</v>
      </c>
      <c r="E461" t="s">
        <v>1025</v>
      </c>
      <c r="F461" t="s">
        <v>1092</v>
      </c>
      <c r="G461" t="s">
        <v>1185</v>
      </c>
      <c r="H461" s="13">
        <v>177595</v>
      </c>
      <c r="I461" s="14">
        <v>16189611.439999999</v>
      </c>
      <c r="J461" t="s">
        <v>1052</v>
      </c>
      <c r="K461" s="10">
        <v>98.550820000000002</v>
      </c>
      <c r="W461" s="10">
        <v>87.133872432432426</v>
      </c>
      <c r="X461" s="10">
        <v>93.920488113207512</v>
      </c>
      <c r="Y461" s="10">
        <v>98.659825365853649</v>
      </c>
      <c r="Z461" s="11" t="str">
        <f t="shared" si="7"/>
        <v/>
      </c>
    </row>
    <row r="462" spans="1:26" x14ac:dyDescent="0.3">
      <c r="A462" t="s">
        <v>461</v>
      </c>
      <c r="B462" t="s">
        <v>2260</v>
      </c>
      <c r="C462" t="s">
        <v>2261</v>
      </c>
      <c r="D462" t="s">
        <v>1014</v>
      </c>
      <c r="E462" t="s">
        <v>1025</v>
      </c>
      <c r="F462" t="s">
        <v>1123</v>
      </c>
      <c r="G462" t="s">
        <v>2204</v>
      </c>
      <c r="H462" s="13">
        <v>182283</v>
      </c>
      <c r="I462" s="14">
        <v>16171129.609999999</v>
      </c>
      <c r="J462" t="s">
        <v>1052</v>
      </c>
      <c r="K462" s="10">
        <v>92.543329999999997</v>
      </c>
      <c r="W462" s="10">
        <v>88.476279374999976</v>
      </c>
      <c r="X462" s="10">
        <v>89.72297018867927</v>
      </c>
      <c r="Y462" s="10">
        <v>92.29929048780491</v>
      </c>
      <c r="Z462" s="11" t="str">
        <f t="shared" si="7"/>
        <v/>
      </c>
    </row>
    <row r="463" spans="1:26" x14ac:dyDescent="0.3">
      <c r="A463" t="s">
        <v>462</v>
      </c>
      <c r="B463" t="s">
        <v>2262</v>
      </c>
      <c r="C463" t="s">
        <v>2263</v>
      </c>
      <c r="D463" t="s">
        <v>1015</v>
      </c>
      <c r="E463" t="s">
        <v>1032</v>
      </c>
      <c r="F463" t="s">
        <v>1485</v>
      </c>
      <c r="G463" t="s">
        <v>2264</v>
      </c>
      <c r="H463" s="13">
        <v>993558.83200000005</v>
      </c>
      <c r="I463" s="14">
        <v>16155986.98</v>
      </c>
      <c r="J463" t="s">
        <v>1163</v>
      </c>
      <c r="K463" s="10">
        <v>21.61843</v>
      </c>
      <c r="W463" s="10">
        <v>22.093349038461529</v>
      </c>
      <c r="X463" s="10">
        <v>23.104068113207529</v>
      </c>
      <c r="Y463" s="10">
        <v>22.929651951219519</v>
      </c>
      <c r="Z463" s="11" t="str">
        <f t="shared" si="7"/>
        <v/>
      </c>
    </row>
    <row r="464" spans="1:26" x14ac:dyDescent="0.3">
      <c r="A464" t="s">
        <v>463</v>
      </c>
      <c r="B464" t="s">
        <v>2265</v>
      </c>
      <c r="C464" t="s">
        <v>1823</v>
      </c>
      <c r="D464" t="s">
        <v>1015</v>
      </c>
      <c r="E464" t="s">
        <v>1029</v>
      </c>
      <c r="F464" t="s">
        <v>2266</v>
      </c>
      <c r="G464" t="s">
        <v>1824</v>
      </c>
      <c r="H464" s="13">
        <v>408530948.20999998</v>
      </c>
      <c r="I464" s="14">
        <v>16081998.699999999</v>
      </c>
      <c r="J464" t="s">
        <v>1061</v>
      </c>
      <c r="K464" s="10">
        <v>3.8400000000000001E-3</v>
      </c>
      <c r="M464" s="10">
        <v>1.9724528301886791E-3</v>
      </c>
      <c r="N464" s="10">
        <v>1.8404545454545459E-3</v>
      </c>
      <c r="O464" s="10">
        <v>4.873846153846154E-3</v>
      </c>
      <c r="P464" s="10">
        <v>5.0800000000000003E-3</v>
      </c>
      <c r="W464" s="10">
        <v>4.1941666666666646E-3</v>
      </c>
      <c r="X464" s="10">
        <v>3.236415094339621E-3</v>
      </c>
      <c r="Y464" s="10">
        <v>3.7297560975609748E-3</v>
      </c>
      <c r="Z464" s="11" t="str">
        <f t="shared" si="7"/>
        <v/>
      </c>
    </row>
    <row r="465" spans="1:26" x14ac:dyDescent="0.3">
      <c r="A465" t="s">
        <v>464</v>
      </c>
      <c r="B465" t="s">
        <v>2267</v>
      </c>
      <c r="C465" t="s">
        <v>2268</v>
      </c>
      <c r="D465" t="s">
        <v>1014</v>
      </c>
      <c r="E465" t="s">
        <v>1027</v>
      </c>
      <c r="F465" t="s">
        <v>1811</v>
      </c>
      <c r="G465" t="s">
        <v>1812</v>
      </c>
      <c r="H465" s="13">
        <v>1327634</v>
      </c>
      <c r="I465" s="14">
        <v>16079685.77</v>
      </c>
      <c r="J465" t="s">
        <v>1052</v>
      </c>
      <c r="K465" s="10">
        <v>11.872019999999999</v>
      </c>
      <c r="R465" s="10">
        <v>10.61584173076923</v>
      </c>
      <c r="S465" s="10">
        <v>11.215033018867929</v>
      </c>
      <c r="T465" s="10">
        <v>11.89220307692308</v>
      </c>
      <c r="U465" s="10">
        <v>11.92718557692308</v>
      </c>
      <c r="V465" s="10">
        <v>11.944017307692301</v>
      </c>
      <c r="W465" s="10">
        <v>11.910657499999999</v>
      </c>
      <c r="X465" s="10">
        <v>11.9018920754717</v>
      </c>
      <c r="Y465" s="10">
        <v>11.88160317073171</v>
      </c>
      <c r="Z465" s="11">
        <f t="shared" si="7"/>
        <v>0.12114445</v>
      </c>
    </row>
    <row r="466" spans="1:26" x14ac:dyDescent="0.3">
      <c r="A466" t="s">
        <v>465</v>
      </c>
      <c r="B466" t="s">
        <v>2269</v>
      </c>
      <c r="C466" t="s">
        <v>1472</v>
      </c>
      <c r="D466" t="s">
        <v>1014</v>
      </c>
      <c r="E466" t="s">
        <v>1019</v>
      </c>
      <c r="F466" t="s">
        <v>1081</v>
      </c>
      <c r="G466" t="s">
        <v>1473</v>
      </c>
      <c r="H466" s="13">
        <v>941959</v>
      </c>
      <c r="I466" s="14">
        <v>16028373.17</v>
      </c>
      <c r="J466" t="s">
        <v>1052</v>
      </c>
      <c r="K466" s="10">
        <v>16.798190000000002</v>
      </c>
      <c r="M466" s="10">
        <v>9.3753222641509417</v>
      </c>
      <c r="N466" s="10">
        <v>10.680817884615379</v>
      </c>
      <c r="O466" s="10">
        <v>11.52370461538462</v>
      </c>
      <c r="P466" s="10">
        <v>12.215651730769229</v>
      </c>
      <c r="Q466" s="10">
        <v>13.14960480769232</v>
      </c>
      <c r="R466" s="10">
        <v>13.945549807692309</v>
      </c>
      <c r="S466" s="10">
        <v>14.78235169811321</v>
      </c>
      <c r="T466" s="10">
        <v>15.52695826923078</v>
      </c>
      <c r="U466" s="10">
        <v>16.129583461538441</v>
      </c>
      <c r="V466" s="10">
        <v>16.796680961538481</v>
      </c>
      <c r="W466" s="10">
        <v>16.773113846153841</v>
      </c>
      <c r="X466" s="10">
        <v>16.791433584905661</v>
      </c>
      <c r="Y466" s="10">
        <v>16.800768292682921</v>
      </c>
      <c r="Z466" s="11">
        <f t="shared" si="7"/>
        <v>0.20407111</v>
      </c>
    </row>
    <row r="467" spans="1:26" x14ac:dyDescent="0.3">
      <c r="A467" t="s">
        <v>466</v>
      </c>
      <c r="B467" t="s">
        <v>2270</v>
      </c>
      <c r="C467" t="s">
        <v>2271</v>
      </c>
      <c r="D467" t="s">
        <v>1015</v>
      </c>
      <c r="E467" t="s">
        <v>1022</v>
      </c>
      <c r="F467" t="s">
        <v>1551</v>
      </c>
      <c r="G467" t="s">
        <v>2040</v>
      </c>
      <c r="H467" s="13">
        <v>1211992.4879999999</v>
      </c>
      <c r="I467" s="14">
        <v>15922795.41</v>
      </c>
      <c r="J467" t="s">
        <v>1061</v>
      </c>
      <c r="K467" s="10">
        <v>0.17588000000000001</v>
      </c>
      <c r="P467" s="10">
        <v>0.21684000000000009</v>
      </c>
      <c r="Q467" s="10">
        <v>0.2374594285714286</v>
      </c>
      <c r="R467" s="10">
        <v>0.23839538461538451</v>
      </c>
      <c r="S467" s="10">
        <v>0.2344</v>
      </c>
      <c r="T467" s="10">
        <v>0.17019999999999991</v>
      </c>
      <c r="U467" s="10">
        <v>0.19470615384615381</v>
      </c>
      <c r="V467" s="10">
        <v>0.2339344230769233</v>
      </c>
      <c r="W467" s="10">
        <v>0.19962384615384621</v>
      </c>
      <c r="X467" s="10">
        <v>0.20490622641509429</v>
      </c>
      <c r="Y467" s="10">
        <v>0.18463268292682919</v>
      </c>
      <c r="Z467" s="11">
        <f t="shared" si="7"/>
        <v>-0.14047738000000001</v>
      </c>
    </row>
    <row r="468" spans="1:26" x14ac:dyDescent="0.3">
      <c r="A468" t="s">
        <v>467</v>
      </c>
      <c r="B468" t="s">
        <v>2272</v>
      </c>
      <c r="C468" t="s">
        <v>2273</v>
      </c>
      <c r="D468" t="s">
        <v>1014</v>
      </c>
      <c r="E468" t="s">
        <v>1027</v>
      </c>
      <c r="F468" t="s">
        <v>1241</v>
      </c>
      <c r="G468" t="s">
        <v>2274</v>
      </c>
      <c r="H468" s="13">
        <v>832692</v>
      </c>
      <c r="I468" s="14">
        <v>15742368.699999999</v>
      </c>
      <c r="J468" t="s">
        <v>1052</v>
      </c>
      <c r="K468" s="10">
        <v>19.626830000000002</v>
      </c>
      <c r="M468" s="10">
        <v>9.9308620754716941</v>
      </c>
      <c r="N468" s="10">
        <v>10.70632038461539</v>
      </c>
      <c r="O468" s="10">
        <v>11.749452884615391</v>
      </c>
      <c r="P468" s="10">
        <v>12.794383653846159</v>
      </c>
      <c r="Q468" s="10">
        <v>13.655950000000001</v>
      </c>
      <c r="R468" s="10">
        <v>14.648086923076921</v>
      </c>
      <c r="S468" s="10">
        <v>15.047731509433969</v>
      </c>
      <c r="T468" s="10">
        <v>15.79880615384617</v>
      </c>
      <c r="U468" s="10">
        <v>16.849691346153861</v>
      </c>
      <c r="V468" s="10">
        <v>17.89446980769231</v>
      </c>
      <c r="W468" s="10">
        <v>18.680106730769229</v>
      </c>
      <c r="X468" s="10">
        <v>19.147453962264169</v>
      </c>
      <c r="Y468" s="10">
        <v>19.628766341463411</v>
      </c>
      <c r="Z468" s="11">
        <f t="shared" si="7"/>
        <v>0.30716413999999997</v>
      </c>
    </row>
    <row r="469" spans="1:26" x14ac:dyDescent="0.3">
      <c r="A469" t="s">
        <v>468</v>
      </c>
      <c r="B469" t="s">
        <v>2275</v>
      </c>
      <c r="C469" t="s">
        <v>2276</v>
      </c>
      <c r="D469" t="s">
        <v>1014</v>
      </c>
      <c r="E469" t="s">
        <v>1027</v>
      </c>
      <c r="F469" t="s">
        <v>1889</v>
      </c>
      <c r="G469" t="s">
        <v>1890</v>
      </c>
      <c r="H469" s="13">
        <v>1122604</v>
      </c>
      <c r="I469" s="14">
        <v>15665508.619999999</v>
      </c>
      <c r="J469" t="s">
        <v>1052</v>
      </c>
      <c r="K469" s="10">
        <v>14.40113</v>
      </c>
      <c r="V469" s="10">
        <v>12.559041538461541</v>
      </c>
      <c r="W469" s="10">
        <v>13.367903653846151</v>
      </c>
      <c r="X469" s="10">
        <v>13.908493207547179</v>
      </c>
      <c r="Y469" s="10">
        <v>14.419705121951219</v>
      </c>
      <c r="Z469" s="11" t="str">
        <f t="shared" si="7"/>
        <v/>
      </c>
    </row>
    <row r="470" spans="1:26" x14ac:dyDescent="0.3">
      <c r="A470" t="s">
        <v>469</v>
      </c>
      <c r="B470" t="s">
        <v>2277</v>
      </c>
      <c r="C470" t="s">
        <v>2278</v>
      </c>
      <c r="D470" t="s">
        <v>1014</v>
      </c>
      <c r="E470" t="s">
        <v>1030</v>
      </c>
      <c r="F470" t="s">
        <v>2279</v>
      </c>
      <c r="G470" t="s">
        <v>2280</v>
      </c>
      <c r="H470" s="13">
        <v>1548044</v>
      </c>
      <c r="I470" s="14">
        <v>15621460.609999999</v>
      </c>
      <c r="J470" t="s">
        <v>1052</v>
      </c>
      <c r="K470" s="10">
        <v>10.954639999999999</v>
      </c>
      <c r="M470" s="10">
        <v>4.2094583018867926</v>
      </c>
      <c r="N470" s="10">
        <v>4.9163018749999967</v>
      </c>
      <c r="O470" s="10">
        <v>5.5550215384615402</v>
      </c>
      <c r="P470" s="10">
        <v>6.0089344230769246</v>
      </c>
      <c r="Q470" s="10">
        <v>6.5623453846153836</v>
      </c>
      <c r="R470" s="10">
        <v>7.194547115384613</v>
      </c>
      <c r="S470" s="10">
        <v>7.5461245283018874</v>
      </c>
      <c r="T470" s="10">
        <v>7.9321971153846187</v>
      </c>
      <c r="U470" s="10">
        <v>8.3364300000000053</v>
      </c>
      <c r="V470" s="10">
        <v>8.7392517307692366</v>
      </c>
      <c r="W470" s="10">
        <v>9.5251448076923015</v>
      </c>
      <c r="X470" s="10">
        <v>10.10417735849056</v>
      </c>
      <c r="Y470" s="10">
        <v>10.959233170731711</v>
      </c>
      <c r="Z470" s="11">
        <f t="shared" si="7"/>
        <v>0.40442159999999999</v>
      </c>
    </row>
    <row r="471" spans="1:26" x14ac:dyDescent="0.3">
      <c r="A471" t="s">
        <v>470</v>
      </c>
      <c r="B471" t="s">
        <v>2281</v>
      </c>
      <c r="C471" t="s">
        <v>2282</v>
      </c>
      <c r="D471" t="s">
        <v>1015</v>
      </c>
      <c r="E471" t="s">
        <v>1022</v>
      </c>
      <c r="F471" t="s">
        <v>2039</v>
      </c>
      <c r="G471" t="s">
        <v>2283</v>
      </c>
      <c r="H471" s="13">
        <v>58551411.057999998</v>
      </c>
      <c r="I471" s="14">
        <v>15264414.33</v>
      </c>
      <c r="J471" t="s">
        <v>1052</v>
      </c>
      <c r="K471" s="10">
        <v>4.9820000000000003E-2</v>
      </c>
      <c r="P471" s="10">
        <v>9.6063461538461514E-2</v>
      </c>
      <c r="Q471" s="10">
        <v>7.8000769230769235E-2</v>
      </c>
      <c r="R471" s="10">
        <v>6.8846923076923069E-2</v>
      </c>
      <c r="S471" s="10">
        <v>6.5758867924528328E-2</v>
      </c>
      <c r="T471" s="10">
        <v>6.3779807692307719E-2</v>
      </c>
      <c r="U471" s="10">
        <v>6.0263269230769197E-2</v>
      </c>
      <c r="V471" s="10">
        <v>5.6588076923076949E-2</v>
      </c>
      <c r="W471" s="10">
        <v>5.0419423076923077E-2</v>
      </c>
      <c r="X471" s="10">
        <v>5.2112641509433982E-2</v>
      </c>
      <c r="Y471" s="10">
        <v>5.0483414634146351E-2</v>
      </c>
      <c r="Z471" s="11">
        <f t="shared" si="7"/>
        <v>-0.24306506</v>
      </c>
    </row>
    <row r="472" spans="1:26" x14ac:dyDescent="0.3">
      <c r="A472" t="s">
        <v>471</v>
      </c>
      <c r="B472" t="s">
        <v>2284</v>
      </c>
      <c r="C472" t="s">
        <v>2285</v>
      </c>
      <c r="D472" t="s">
        <v>1014</v>
      </c>
      <c r="E472" t="s">
        <v>1019</v>
      </c>
      <c r="F472" t="s">
        <v>1064</v>
      </c>
      <c r="G472" t="s">
        <v>2218</v>
      </c>
      <c r="H472" s="13">
        <v>172513</v>
      </c>
      <c r="I472" s="14">
        <v>15240925.039999999</v>
      </c>
      <c r="J472" t="s">
        <v>1061</v>
      </c>
      <c r="K472" s="10">
        <v>87.748000000000005</v>
      </c>
      <c r="M472" s="10">
        <v>60.961788260869547</v>
      </c>
      <c r="N472" s="10">
        <v>68.355027499999991</v>
      </c>
      <c r="O472" s="10">
        <v>76.158009230769181</v>
      </c>
      <c r="P472" s="10">
        <v>83.430956153846168</v>
      </c>
      <c r="Q472" s="10">
        <v>89.340530192307739</v>
      </c>
      <c r="R472" s="10">
        <v>98.242275384615368</v>
      </c>
      <c r="S472" s="10">
        <v>103.112826226415</v>
      </c>
      <c r="T472" s="10">
        <v>108.05713134615389</v>
      </c>
      <c r="U472" s="10">
        <v>113.4875886538463</v>
      </c>
      <c r="V472" s="10">
        <v>119.3131738461539</v>
      </c>
      <c r="W472" s="10">
        <v>88.026818269230802</v>
      </c>
      <c r="X472" s="10">
        <v>87.525814528301851</v>
      </c>
      <c r="Y472" s="10">
        <v>87.77843707317075</v>
      </c>
      <c r="Z472" s="11">
        <f t="shared" si="7"/>
        <v>-0.10908197</v>
      </c>
    </row>
    <row r="473" spans="1:26" x14ac:dyDescent="0.3">
      <c r="A473" t="s">
        <v>472</v>
      </c>
      <c r="B473" t="s">
        <v>2286</v>
      </c>
      <c r="C473" t="s">
        <v>2287</v>
      </c>
      <c r="D473" t="s">
        <v>1015</v>
      </c>
      <c r="E473" t="s">
        <v>1026</v>
      </c>
      <c r="F473" t="s">
        <v>2288</v>
      </c>
      <c r="G473" t="s">
        <v>2289</v>
      </c>
      <c r="H473" s="13">
        <v>50413051.199000001</v>
      </c>
      <c r="I473" s="14">
        <v>15164487.060000001</v>
      </c>
      <c r="J473" t="s">
        <v>1061</v>
      </c>
      <c r="K473" s="10">
        <v>0.14964</v>
      </c>
      <c r="T473" s="10">
        <v>0.44259999999999988</v>
      </c>
      <c r="U473" s="10">
        <v>0.44630134615384609</v>
      </c>
      <c r="V473" s="10">
        <v>0.33071730769230778</v>
      </c>
      <c r="W473" s="10">
        <v>0.211996923076923</v>
      </c>
      <c r="X473" s="10">
        <v>0.18178886792452831</v>
      </c>
      <c r="Y473" s="10">
        <v>0.1550634146341463</v>
      </c>
      <c r="Z473" s="11" t="str">
        <f t="shared" si="7"/>
        <v/>
      </c>
    </row>
    <row r="474" spans="1:26" x14ac:dyDescent="0.3">
      <c r="A474" t="s">
        <v>473</v>
      </c>
      <c r="B474" t="s">
        <v>2290</v>
      </c>
      <c r="C474" t="s">
        <v>2291</v>
      </c>
      <c r="D474" t="s">
        <v>1015</v>
      </c>
      <c r="E474" t="s">
        <v>1030</v>
      </c>
      <c r="F474" t="s">
        <v>2027</v>
      </c>
      <c r="G474" t="s">
        <v>2292</v>
      </c>
      <c r="H474" s="13">
        <v>11599322.793</v>
      </c>
      <c r="I474" s="14">
        <v>15080229.68</v>
      </c>
      <c r="J474" t="s">
        <v>1052</v>
      </c>
      <c r="K474" s="10">
        <v>1.1374599999999999</v>
      </c>
      <c r="M474" s="10">
        <v>0.97850075471698117</v>
      </c>
      <c r="N474" s="10">
        <v>0.87083423076923094</v>
      </c>
      <c r="O474" s="10">
        <v>0.8915288461538462</v>
      </c>
      <c r="P474" s="10">
        <v>0.81436846153846143</v>
      </c>
      <c r="Q474" s="10">
        <v>0.74207192307692316</v>
      </c>
      <c r="R474" s="10">
        <v>0.74672230769230741</v>
      </c>
      <c r="S474" s="10">
        <v>0.78211528301886757</v>
      </c>
      <c r="T474" s="10">
        <v>0.77560115384615358</v>
      </c>
      <c r="U474" s="10">
        <v>0.73306250000000006</v>
      </c>
      <c r="V474" s="10">
        <v>0.74069500000000044</v>
      </c>
      <c r="W474" s="10">
        <v>0.96393019230769217</v>
      </c>
      <c r="X474" s="10">
        <v>1.1789571698113199</v>
      </c>
      <c r="Y474" s="10">
        <v>1.197684878048781</v>
      </c>
      <c r="Z474" s="11">
        <f t="shared" si="7"/>
        <v>0.57884283999999997</v>
      </c>
    </row>
    <row r="475" spans="1:26" x14ac:dyDescent="0.3">
      <c r="A475" t="s">
        <v>474</v>
      </c>
      <c r="B475" t="s">
        <v>2293</v>
      </c>
      <c r="C475" t="s">
        <v>2294</v>
      </c>
      <c r="D475" t="s">
        <v>1015</v>
      </c>
      <c r="E475" t="s">
        <v>1019</v>
      </c>
      <c r="F475" t="s">
        <v>1382</v>
      </c>
      <c r="G475" t="s">
        <v>1930</v>
      </c>
      <c r="H475" s="13">
        <v>262888.09999999998</v>
      </c>
      <c r="I475" s="14">
        <v>14974021.84</v>
      </c>
      <c r="J475" t="s">
        <v>1061</v>
      </c>
      <c r="K475" s="10">
        <v>31.406169999999999</v>
      </c>
      <c r="X475" s="10">
        <v>64.635647735849048</v>
      </c>
      <c r="Y475" s="10">
        <v>40.861106585365853</v>
      </c>
      <c r="Z475" s="11" t="str">
        <f t="shared" si="7"/>
        <v/>
      </c>
    </row>
    <row r="476" spans="1:26" x14ac:dyDescent="0.3">
      <c r="A476" t="s">
        <v>475</v>
      </c>
      <c r="B476" t="s">
        <v>2295</v>
      </c>
      <c r="C476" t="s">
        <v>2296</v>
      </c>
      <c r="D476" t="s">
        <v>1014</v>
      </c>
      <c r="E476" t="s">
        <v>1022</v>
      </c>
      <c r="F476" t="s">
        <v>1270</v>
      </c>
      <c r="G476" t="s">
        <v>2297</v>
      </c>
      <c r="H476" s="13">
        <v>2544329</v>
      </c>
      <c r="I476" s="14">
        <v>14957022.789999999</v>
      </c>
      <c r="J476" t="s">
        <v>1052</v>
      </c>
      <c r="K476" s="10">
        <v>5.8261900000000004</v>
      </c>
      <c r="M476" s="10">
        <v>3.5276832075471729</v>
      </c>
      <c r="N476" s="10">
        <v>4.0576000000000043</v>
      </c>
      <c r="O476" s="10">
        <v>4.6825173076923088</v>
      </c>
      <c r="P476" s="10">
        <v>5.2585013461538459</v>
      </c>
      <c r="Q476" s="10">
        <v>5.810130769230768</v>
      </c>
      <c r="R476" s="10">
        <v>5.8374155769230729</v>
      </c>
      <c r="S476" s="10">
        <v>5.837745094339625</v>
      </c>
      <c r="T476" s="10">
        <v>5.8254973076923111</v>
      </c>
      <c r="U476" s="10">
        <v>5.8133469230769252</v>
      </c>
      <c r="V476" s="10">
        <v>5.8137607692307682</v>
      </c>
      <c r="W476" s="10">
        <v>5.8229961538461499</v>
      </c>
      <c r="X476" s="10">
        <v>5.8208471698113211</v>
      </c>
      <c r="Y476" s="10">
        <v>5.8231182926829259</v>
      </c>
      <c r="Z476" s="11">
        <f t="shared" si="7"/>
        <v>-2.8383100000000001E-3</v>
      </c>
    </row>
    <row r="477" spans="1:26" x14ac:dyDescent="0.3">
      <c r="A477" t="s">
        <v>476</v>
      </c>
      <c r="B477" t="s">
        <v>2298</v>
      </c>
      <c r="C477" t="s">
        <v>1570</v>
      </c>
      <c r="D477" t="s">
        <v>1015</v>
      </c>
      <c r="E477" t="s">
        <v>1030</v>
      </c>
      <c r="F477" t="s">
        <v>2049</v>
      </c>
      <c r="G477" t="s">
        <v>1572</v>
      </c>
      <c r="H477" s="13">
        <v>6361631</v>
      </c>
      <c r="I477" s="14">
        <v>14903075.869999999</v>
      </c>
      <c r="J477" t="s">
        <v>1052</v>
      </c>
      <c r="K477" s="10">
        <v>1.99779</v>
      </c>
      <c r="T477" s="10">
        <v>2.1203527083333338</v>
      </c>
      <c r="U477" s="10">
        <v>1.9424671153846149</v>
      </c>
      <c r="V477" s="10">
        <v>1.815684807692308</v>
      </c>
      <c r="W477" s="10">
        <v>1.8660769230769241</v>
      </c>
      <c r="X477" s="10">
        <v>2.0613664150943389</v>
      </c>
      <c r="Y477" s="10">
        <v>2.0145675609756091</v>
      </c>
      <c r="Z477" s="11" t="str">
        <f t="shared" si="7"/>
        <v/>
      </c>
    </row>
    <row r="478" spans="1:26" x14ac:dyDescent="0.3">
      <c r="A478" t="s">
        <v>477</v>
      </c>
      <c r="B478" t="s">
        <v>2299</v>
      </c>
      <c r="C478" t="s">
        <v>1570</v>
      </c>
      <c r="D478" t="s">
        <v>1015</v>
      </c>
      <c r="E478" t="s">
        <v>1030</v>
      </c>
      <c r="F478" t="s">
        <v>1382</v>
      </c>
      <c r="G478" t="s">
        <v>1572</v>
      </c>
      <c r="H478" s="13">
        <v>6569766</v>
      </c>
      <c r="I478" s="14">
        <v>14875807.6</v>
      </c>
      <c r="J478" t="s">
        <v>1052</v>
      </c>
      <c r="K478" s="10">
        <v>1.99779</v>
      </c>
      <c r="M478" s="10">
        <v>7.0928062264150942</v>
      </c>
      <c r="N478" s="10">
        <v>6.0111105769230786</v>
      </c>
      <c r="O478" s="10">
        <v>3.848994807692308</v>
      </c>
      <c r="P478" s="10">
        <v>3.0486857692307701</v>
      </c>
      <c r="Q478" s="10">
        <v>2.7745444230769229</v>
      </c>
      <c r="R478" s="10">
        <v>2.6766340384615388</v>
      </c>
      <c r="S478" s="10">
        <v>2.5136201886792451</v>
      </c>
      <c r="T478" s="10">
        <v>2.1287344230769238</v>
      </c>
      <c r="U478" s="10">
        <v>1.9424671153846149</v>
      </c>
      <c r="V478" s="10">
        <v>1.815684807692308</v>
      </c>
      <c r="W478" s="10">
        <v>1.8660769230769241</v>
      </c>
      <c r="X478" s="10">
        <v>2.0613664150943389</v>
      </c>
      <c r="Y478" s="10">
        <v>2.0145675609756091</v>
      </c>
      <c r="Z478" s="11">
        <f t="shared" si="7"/>
        <v>-0.22986617000000001</v>
      </c>
    </row>
    <row r="479" spans="1:26" x14ac:dyDescent="0.3">
      <c r="A479" t="s">
        <v>478</v>
      </c>
      <c r="B479" t="s">
        <v>2300</v>
      </c>
      <c r="C479" t="s">
        <v>2301</v>
      </c>
      <c r="D479" t="s">
        <v>1014</v>
      </c>
      <c r="E479" t="s">
        <v>1027</v>
      </c>
      <c r="F479" t="s">
        <v>1270</v>
      </c>
      <c r="G479" t="s">
        <v>1799</v>
      </c>
      <c r="H479" s="13">
        <v>2151853.0279999999</v>
      </c>
      <c r="I479" s="14">
        <v>14843197.5</v>
      </c>
      <c r="J479" t="s">
        <v>1052</v>
      </c>
      <c r="K479" s="10">
        <v>6.81243</v>
      </c>
      <c r="M479" s="10">
        <v>6.9268009433962234</v>
      </c>
      <c r="N479" s="10">
        <v>6.9419201923076903</v>
      </c>
      <c r="O479" s="10">
        <v>6.9537144230769226</v>
      </c>
      <c r="P479" s="10">
        <v>6.8582275000000026</v>
      </c>
      <c r="Q479" s="10">
        <v>6.8515038461538467</v>
      </c>
      <c r="R479" s="10">
        <v>6.8591451923076914</v>
      </c>
      <c r="S479" s="10">
        <v>6.8337954716981173</v>
      </c>
      <c r="T479" s="10">
        <v>6.8283151923076941</v>
      </c>
      <c r="U479" s="10">
        <v>6.8239246153846187</v>
      </c>
      <c r="V479" s="10">
        <v>6.8344753846153896</v>
      </c>
      <c r="W479" s="10">
        <v>6.8395684615384589</v>
      </c>
      <c r="X479" s="10">
        <v>6.8272730188679196</v>
      </c>
      <c r="Y479" s="10">
        <v>6.8145695121951242</v>
      </c>
      <c r="Z479" s="11">
        <f t="shared" si="7"/>
        <v>-4.6466700000000003E-3</v>
      </c>
    </row>
    <row r="480" spans="1:26" x14ac:dyDescent="0.3">
      <c r="A480" t="s">
        <v>479</v>
      </c>
      <c r="B480" t="s">
        <v>2302</v>
      </c>
      <c r="C480" t="s">
        <v>2103</v>
      </c>
      <c r="D480" t="s">
        <v>1014</v>
      </c>
      <c r="E480" t="s">
        <v>1027</v>
      </c>
      <c r="F480" t="s">
        <v>1131</v>
      </c>
      <c r="G480" t="s">
        <v>1559</v>
      </c>
      <c r="H480" s="13">
        <v>7120.4459999999999</v>
      </c>
      <c r="I480" s="14">
        <v>14776450.34</v>
      </c>
      <c r="J480" t="s">
        <v>1052</v>
      </c>
      <c r="K480" s="10">
        <v>2141.1481100000001</v>
      </c>
      <c r="M480" s="10">
        <v>1091.6249986792459</v>
      </c>
      <c r="N480" s="10">
        <v>1164.166383269232</v>
      </c>
      <c r="O480" s="10">
        <v>1262.1402415384621</v>
      </c>
      <c r="P480" s="10">
        <v>1382.2346121153851</v>
      </c>
      <c r="Q480" s="10">
        <v>1520.220315961539</v>
      </c>
      <c r="R480" s="10">
        <v>1613.372934615385</v>
      </c>
      <c r="S480" s="10">
        <v>1633.407179056604</v>
      </c>
      <c r="T480" s="10">
        <v>1710.777663653847</v>
      </c>
      <c r="U480" s="10">
        <v>1828.039237692306</v>
      </c>
      <c r="V480" s="10">
        <v>1947.257889999998</v>
      </c>
      <c r="W480" s="10">
        <v>2018.3475551923079</v>
      </c>
      <c r="X480" s="10">
        <v>2079.5795150943391</v>
      </c>
      <c r="Y480" s="10">
        <v>2139.105616829268</v>
      </c>
      <c r="Z480" s="11">
        <f t="shared" si="7"/>
        <v>0.28896392999999998</v>
      </c>
    </row>
    <row r="481" spans="1:26" x14ac:dyDescent="0.3">
      <c r="A481" t="s">
        <v>480</v>
      </c>
      <c r="B481" t="s">
        <v>2303</v>
      </c>
      <c r="C481" t="s">
        <v>2304</v>
      </c>
      <c r="D481" t="s">
        <v>1014</v>
      </c>
      <c r="E481" t="s">
        <v>1027</v>
      </c>
      <c r="F481" t="s">
        <v>1755</v>
      </c>
      <c r="G481" t="s">
        <v>1821</v>
      </c>
      <c r="H481" s="13">
        <v>344276.5</v>
      </c>
      <c r="I481" s="14">
        <v>14678118.890000001</v>
      </c>
      <c r="J481" t="s">
        <v>1052</v>
      </c>
      <c r="K481" s="10">
        <v>44.007080000000002</v>
      </c>
      <c r="N481" s="10">
        <v>21.75887903846154</v>
      </c>
      <c r="O481" s="10">
        <v>24.506837307692301</v>
      </c>
      <c r="P481" s="10">
        <v>26.646385384615382</v>
      </c>
      <c r="Q481" s="10">
        <v>29.338290576923061</v>
      </c>
      <c r="R481" s="10">
        <v>30.915014615384649</v>
      </c>
      <c r="S481" s="10">
        <v>32.450135283018859</v>
      </c>
      <c r="T481" s="10">
        <v>33.973801346153849</v>
      </c>
      <c r="U481" s="10">
        <v>35.819132499999981</v>
      </c>
      <c r="V481" s="10">
        <v>38.26654999999996</v>
      </c>
      <c r="W481" s="10">
        <v>40.537955384615387</v>
      </c>
      <c r="X481" s="10">
        <v>42.962626415094348</v>
      </c>
      <c r="Y481" s="10">
        <v>44.205346097560991</v>
      </c>
      <c r="Z481" s="11">
        <f t="shared" si="7"/>
        <v>0.38970099000000002</v>
      </c>
    </row>
    <row r="482" spans="1:26" x14ac:dyDescent="0.3">
      <c r="A482" t="s">
        <v>481</v>
      </c>
      <c r="B482" t="s">
        <v>2305</v>
      </c>
      <c r="C482" t="s">
        <v>2306</v>
      </c>
      <c r="D482" t="s">
        <v>1014</v>
      </c>
      <c r="E482" t="s">
        <v>1018</v>
      </c>
      <c r="F482" t="s">
        <v>1106</v>
      </c>
      <c r="G482" t="s">
        <v>1520</v>
      </c>
      <c r="H482" s="13">
        <v>1955591</v>
      </c>
      <c r="I482" s="14">
        <v>14677150.869999999</v>
      </c>
      <c r="J482" t="s">
        <v>1052</v>
      </c>
      <c r="K482" s="10">
        <v>7.4191500000000001</v>
      </c>
      <c r="O482" s="10">
        <v>4.9448657692307734</v>
      </c>
      <c r="P482" s="10">
        <v>5.3183990384615338</v>
      </c>
      <c r="Q482" s="10">
        <v>5.6424871153846157</v>
      </c>
      <c r="R482" s="10">
        <v>6.0016853846153806</v>
      </c>
      <c r="S482" s="10">
        <v>6.2199209433962279</v>
      </c>
      <c r="T482" s="10">
        <v>6.5369334615384638</v>
      </c>
      <c r="U482" s="10">
        <v>6.8023565384615434</v>
      </c>
      <c r="V482" s="10">
        <v>7.0042332692307649</v>
      </c>
      <c r="W482" s="10">
        <v>7.2097942307692344</v>
      </c>
      <c r="X482" s="10">
        <v>7.420696226415096</v>
      </c>
      <c r="Y482" s="10">
        <v>7.4262263414634129</v>
      </c>
      <c r="Z482" s="11">
        <f t="shared" si="7"/>
        <v>0.23643539</v>
      </c>
    </row>
    <row r="483" spans="1:26" x14ac:dyDescent="0.3">
      <c r="A483" t="s">
        <v>482</v>
      </c>
      <c r="B483" t="s">
        <v>2307</v>
      </c>
      <c r="C483" t="s">
        <v>2308</v>
      </c>
      <c r="D483" t="s">
        <v>1015</v>
      </c>
      <c r="E483" t="s">
        <v>1027</v>
      </c>
      <c r="F483" t="s">
        <v>2309</v>
      </c>
      <c r="G483" t="s">
        <v>2310</v>
      </c>
      <c r="H483" s="13">
        <v>1985042</v>
      </c>
      <c r="I483" s="14">
        <v>14636720.039999999</v>
      </c>
      <c r="J483" t="s">
        <v>1052</v>
      </c>
      <c r="K483" s="10">
        <v>7.9955600000000002</v>
      </c>
      <c r="W483" s="10">
        <v>7.3797358333333323</v>
      </c>
      <c r="X483" s="10">
        <v>6.7654850943396196</v>
      </c>
      <c r="Y483" s="10">
        <v>7.7892665853658558</v>
      </c>
      <c r="Z483" s="11" t="str">
        <f t="shared" si="7"/>
        <v/>
      </c>
    </row>
    <row r="484" spans="1:26" x14ac:dyDescent="0.3">
      <c r="A484" t="s">
        <v>483</v>
      </c>
      <c r="B484" t="s">
        <v>2311</v>
      </c>
      <c r="C484" t="s">
        <v>2312</v>
      </c>
      <c r="D484" t="s">
        <v>1014</v>
      </c>
      <c r="E484" t="s">
        <v>1027</v>
      </c>
      <c r="F484" t="s">
        <v>1241</v>
      </c>
      <c r="G484" t="s">
        <v>2274</v>
      </c>
      <c r="H484" s="13">
        <v>6746763.2980000004</v>
      </c>
      <c r="I484" s="14">
        <v>14605023.800000001</v>
      </c>
      <c r="J484" t="s">
        <v>1061</v>
      </c>
      <c r="K484" s="10">
        <v>2.29765</v>
      </c>
      <c r="T484" s="10">
        <v>1.8497848076923089</v>
      </c>
      <c r="U484" s="10">
        <v>1.9807882692307679</v>
      </c>
      <c r="V484" s="10">
        <v>2.096306730769232</v>
      </c>
      <c r="W484" s="10">
        <v>2.1882867307692311</v>
      </c>
      <c r="X484" s="10">
        <v>2.2452118867924509</v>
      </c>
      <c r="Y484" s="10">
        <v>2.294546585365854</v>
      </c>
      <c r="Z484" s="11" t="str">
        <f t="shared" si="7"/>
        <v/>
      </c>
    </row>
    <row r="485" spans="1:26" x14ac:dyDescent="0.3">
      <c r="A485" t="s">
        <v>484</v>
      </c>
      <c r="B485" t="s">
        <v>2313</v>
      </c>
      <c r="C485" t="s">
        <v>2314</v>
      </c>
      <c r="D485" t="s">
        <v>1014</v>
      </c>
      <c r="E485" t="s">
        <v>1027</v>
      </c>
      <c r="F485" t="s">
        <v>1984</v>
      </c>
      <c r="G485" t="s">
        <v>1985</v>
      </c>
      <c r="H485" s="13">
        <v>373982.7</v>
      </c>
      <c r="I485" s="14">
        <v>14593927.65</v>
      </c>
      <c r="J485" t="s">
        <v>1052</v>
      </c>
      <c r="K485" s="10">
        <v>39.140279999999997</v>
      </c>
      <c r="W485" s="10">
        <v>39.264074042553183</v>
      </c>
      <c r="X485" s="10">
        <v>39.218818679245281</v>
      </c>
      <c r="Y485" s="10">
        <v>39.121741219512202</v>
      </c>
      <c r="Z485" s="11" t="str">
        <f t="shared" si="7"/>
        <v/>
      </c>
    </row>
    <row r="486" spans="1:26" x14ac:dyDescent="0.3">
      <c r="A486" t="s">
        <v>485</v>
      </c>
      <c r="B486" t="s">
        <v>2315</v>
      </c>
      <c r="C486" t="s">
        <v>2316</v>
      </c>
      <c r="D486" t="s">
        <v>1014</v>
      </c>
      <c r="E486" t="s">
        <v>1027</v>
      </c>
      <c r="F486" t="s">
        <v>1382</v>
      </c>
      <c r="G486" t="s">
        <v>1555</v>
      </c>
      <c r="H486" s="13">
        <v>59478</v>
      </c>
      <c r="I486" s="14">
        <v>14519843.83</v>
      </c>
      <c r="J486" t="s">
        <v>1052</v>
      </c>
      <c r="K486" s="10">
        <v>251.16057000000001</v>
      </c>
      <c r="Y486" s="10">
        <v>251.2736190243902</v>
      </c>
      <c r="Z486" s="11" t="str">
        <f t="shared" si="7"/>
        <v/>
      </c>
    </row>
    <row r="487" spans="1:26" x14ac:dyDescent="0.3">
      <c r="A487" t="s">
        <v>486</v>
      </c>
      <c r="B487" t="s">
        <v>2317</v>
      </c>
      <c r="C487" t="s">
        <v>1731</v>
      </c>
      <c r="D487" t="s">
        <v>1014</v>
      </c>
      <c r="E487" t="s">
        <v>1033</v>
      </c>
      <c r="F487" t="s">
        <v>1706</v>
      </c>
      <c r="G487" t="s">
        <v>1732</v>
      </c>
      <c r="H487" s="13">
        <v>977155</v>
      </c>
      <c r="I487" s="14">
        <v>14493435.98</v>
      </c>
      <c r="J487" t="s">
        <v>1052</v>
      </c>
      <c r="K487" s="10">
        <v>14.69886</v>
      </c>
      <c r="M487" s="10">
        <v>7.7000966037735763</v>
      </c>
      <c r="N487" s="10">
        <v>8.6473334615384552</v>
      </c>
      <c r="O487" s="10">
        <v>9.4670186538461554</v>
      </c>
      <c r="P487" s="10">
        <v>10.39353865384615</v>
      </c>
      <c r="Q487" s="10">
        <v>11.273890769230769</v>
      </c>
      <c r="R487" s="10">
        <v>12.247626923076909</v>
      </c>
      <c r="S487" s="10">
        <v>12.921382264150949</v>
      </c>
      <c r="T487" s="10">
        <v>13.334629038461539</v>
      </c>
      <c r="U487" s="10">
        <v>13.72041846153847</v>
      </c>
      <c r="V487" s="10">
        <v>14.254644230769239</v>
      </c>
      <c r="W487" s="10">
        <v>14.6936573076923</v>
      </c>
      <c r="X487" s="10">
        <v>14.70713603773585</v>
      </c>
      <c r="Y487" s="10">
        <v>14.69605853658536</v>
      </c>
      <c r="Z487" s="11">
        <f t="shared" si="7"/>
        <v>0.20081515999999999</v>
      </c>
    </row>
    <row r="488" spans="1:26" x14ac:dyDescent="0.3">
      <c r="A488" t="s">
        <v>487</v>
      </c>
      <c r="B488" t="s">
        <v>2318</v>
      </c>
      <c r="C488" t="s">
        <v>2319</v>
      </c>
      <c r="D488" t="s">
        <v>1014</v>
      </c>
      <c r="E488" t="s">
        <v>1027</v>
      </c>
      <c r="F488" t="s">
        <v>2211</v>
      </c>
      <c r="G488" t="s">
        <v>2212</v>
      </c>
      <c r="H488" s="13">
        <v>397804</v>
      </c>
      <c r="I488" s="14">
        <v>14452471.35</v>
      </c>
      <c r="J488" t="s">
        <v>1052</v>
      </c>
      <c r="K488" s="10">
        <v>37.614409999999999</v>
      </c>
      <c r="P488" s="10">
        <v>19.75633999999998</v>
      </c>
      <c r="Q488" s="10">
        <v>21.300115961538459</v>
      </c>
      <c r="R488" s="10">
        <v>23.094823265306111</v>
      </c>
      <c r="S488" s="10">
        <v>25.597470377358469</v>
      </c>
      <c r="T488" s="10">
        <v>30.249871923076931</v>
      </c>
      <c r="U488" s="10">
        <v>32.91319461538464</v>
      </c>
      <c r="V488" s="10">
        <v>34.375303076923103</v>
      </c>
      <c r="W488" s="10">
        <v>35.166374423076903</v>
      </c>
      <c r="X488" s="10">
        <v>36.176719622641507</v>
      </c>
      <c r="Y488" s="10">
        <v>37.494065365853672</v>
      </c>
      <c r="Z488" s="11">
        <f t="shared" si="7"/>
        <v>0.56644280000000002</v>
      </c>
    </row>
    <row r="489" spans="1:26" x14ac:dyDescent="0.3">
      <c r="A489" t="s">
        <v>488</v>
      </c>
      <c r="B489" t="s">
        <v>2320</v>
      </c>
      <c r="C489" t="s">
        <v>2321</v>
      </c>
      <c r="D489" t="s">
        <v>1014</v>
      </c>
      <c r="E489" t="s">
        <v>1705</v>
      </c>
      <c r="F489" t="s">
        <v>2094</v>
      </c>
      <c r="G489" t="s">
        <v>2095</v>
      </c>
      <c r="H489" s="13">
        <v>657764</v>
      </c>
      <c r="I489" s="14">
        <v>14412030.970000001</v>
      </c>
      <c r="J489" t="s">
        <v>1052</v>
      </c>
      <c r="K489" s="10">
        <v>22.396629999999998</v>
      </c>
      <c r="W489" s="10">
        <v>20.785727187500001</v>
      </c>
      <c r="X489" s="10">
        <v>21.76571754716981</v>
      </c>
      <c r="Y489" s="10">
        <v>22.416623414634142</v>
      </c>
      <c r="Z489" s="11" t="str">
        <f t="shared" si="7"/>
        <v/>
      </c>
    </row>
    <row r="490" spans="1:26" x14ac:dyDescent="0.3">
      <c r="A490" t="s">
        <v>489</v>
      </c>
      <c r="B490" t="s">
        <v>2322</v>
      </c>
      <c r="C490" t="s">
        <v>2323</v>
      </c>
      <c r="D490" t="s">
        <v>1014</v>
      </c>
      <c r="E490" t="s">
        <v>1018</v>
      </c>
      <c r="F490" t="s">
        <v>1074</v>
      </c>
      <c r="G490" t="s">
        <v>1075</v>
      </c>
      <c r="H490" s="13">
        <v>1457967</v>
      </c>
      <c r="I490" s="14">
        <v>14153845.74</v>
      </c>
      <c r="J490" t="s">
        <v>1052</v>
      </c>
      <c r="K490" s="10">
        <v>5.5076599999999996</v>
      </c>
      <c r="Q490" s="10">
        <v>6.69529</v>
      </c>
      <c r="R490" s="10">
        <v>7.0894750000000064</v>
      </c>
      <c r="S490" s="10">
        <v>7.51326622641509</v>
      </c>
      <c r="T490" s="10">
        <v>7.9593265384615428</v>
      </c>
      <c r="U490" s="10">
        <v>8.4601407692307653</v>
      </c>
      <c r="V490" s="10">
        <v>8.9627765384615508</v>
      </c>
      <c r="W490" s="10">
        <v>9.4894465384615394</v>
      </c>
      <c r="X490" s="10">
        <v>9.6686550943396288</v>
      </c>
      <c r="Y490" s="10">
        <v>5.6101673170731683</v>
      </c>
      <c r="Z490" s="11">
        <f t="shared" si="7"/>
        <v>0.36380410000000002</v>
      </c>
    </row>
    <row r="491" spans="1:26" x14ac:dyDescent="0.3">
      <c r="A491" t="s">
        <v>490</v>
      </c>
      <c r="B491" t="s">
        <v>2324</v>
      </c>
      <c r="C491" t="s">
        <v>2325</v>
      </c>
      <c r="D491" t="s">
        <v>1014</v>
      </c>
      <c r="E491" t="s">
        <v>1027</v>
      </c>
      <c r="F491" t="s">
        <v>1131</v>
      </c>
      <c r="G491" t="s">
        <v>1330</v>
      </c>
      <c r="H491" s="13">
        <v>290762</v>
      </c>
      <c r="I491" s="14">
        <v>14128702.42</v>
      </c>
      <c r="J491" t="s">
        <v>1052</v>
      </c>
      <c r="K491" s="10">
        <v>49.497079999999997</v>
      </c>
      <c r="Q491" s="10">
        <v>35.341329999999978</v>
      </c>
      <c r="R491" s="10">
        <v>36.64507076923077</v>
      </c>
      <c r="S491" s="10">
        <v>37.261346226415093</v>
      </c>
      <c r="T491" s="10">
        <v>39.655892115384603</v>
      </c>
      <c r="U491" s="10">
        <v>42.48645673076922</v>
      </c>
      <c r="V491" s="10">
        <v>45.276816923076957</v>
      </c>
      <c r="W491" s="10">
        <v>47.007076346153852</v>
      </c>
      <c r="X491" s="10">
        <v>48.269395660377327</v>
      </c>
      <c r="Y491" s="10">
        <v>49.481680487804887</v>
      </c>
      <c r="Z491" s="11">
        <f t="shared" si="7"/>
        <v>0.31721387000000001</v>
      </c>
    </row>
    <row r="492" spans="1:26" x14ac:dyDescent="0.3">
      <c r="A492" t="s">
        <v>491</v>
      </c>
      <c r="B492" t="s">
        <v>2326</v>
      </c>
      <c r="C492" t="s">
        <v>2327</v>
      </c>
      <c r="D492" t="s">
        <v>1014</v>
      </c>
      <c r="E492" t="s">
        <v>1705</v>
      </c>
      <c r="F492" t="s">
        <v>1074</v>
      </c>
      <c r="G492" t="s">
        <v>2033</v>
      </c>
      <c r="H492" s="13">
        <v>471969</v>
      </c>
      <c r="I492" s="14">
        <v>14034471.710000001</v>
      </c>
      <c r="J492" t="s">
        <v>1052</v>
      </c>
      <c r="K492" s="10">
        <v>30.2302</v>
      </c>
      <c r="X492" s="10">
        <v>29.650161190476179</v>
      </c>
      <c r="Y492" s="10">
        <v>30.270225609756089</v>
      </c>
      <c r="Z492" s="11" t="str">
        <f t="shared" si="7"/>
        <v/>
      </c>
    </row>
    <row r="493" spans="1:26" x14ac:dyDescent="0.3">
      <c r="A493" t="s">
        <v>492</v>
      </c>
      <c r="B493" t="s">
        <v>2328</v>
      </c>
      <c r="C493" t="s">
        <v>2329</v>
      </c>
      <c r="D493" t="s">
        <v>1014</v>
      </c>
      <c r="E493" t="s">
        <v>1027</v>
      </c>
      <c r="F493" t="s">
        <v>1984</v>
      </c>
      <c r="G493" t="s">
        <v>1985</v>
      </c>
      <c r="H493" s="13">
        <v>355745</v>
      </c>
      <c r="I493" s="14">
        <v>13929744.25</v>
      </c>
      <c r="J493" t="s">
        <v>1052</v>
      </c>
      <c r="K493" s="10">
        <v>39.13335</v>
      </c>
      <c r="W493" s="10">
        <v>39.28800680851063</v>
      </c>
      <c r="X493" s="10">
        <v>39.20596754716982</v>
      </c>
      <c r="Y493" s="10">
        <v>39.138309512195129</v>
      </c>
      <c r="Z493" s="11" t="str">
        <f t="shared" si="7"/>
        <v/>
      </c>
    </row>
    <row r="494" spans="1:26" x14ac:dyDescent="0.3">
      <c r="A494" t="s">
        <v>493</v>
      </c>
      <c r="B494" t="s">
        <v>2330</v>
      </c>
      <c r="C494" t="s">
        <v>2331</v>
      </c>
      <c r="D494" t="s">
        <v>1014</v>
      </c>
      <c r="E494" t="s">
        <v>1021</v>
      </c>
      <c r="F494" t="s">
        <v>1055</v>
      </c>
      <c r="G494" t="s">
        <v>2332</v>
      </c>
      <c r="H494" s="13">
        <v>132690</v>
      </c>
      <c r="I494" s="14">
        <v>13791502.99</v>
      </c>
      <c r="J494" t="s">
        <v>1061</v>
      </c>
      <c r="K494" s="10">
        <v>103.06335</v>
      </c>
      <c r="M494" s="10">
        <v>43.902063584905633</v>
      </c>
      <c r="N494" s="10">
        <v>50.788654999999999</v>
      </c>
      <c r="O494" s="10">
        <v>57.916272115384608</v>
      </c>
      <c r="P494" s="10">
        <v>63.152513461538433</v>
      </c>
      <c r="Q494" s="10">
        <v>69.008131153846136</v>
      </c>
      <c r="R494" s="10">
        <v>75.443697499999971</v>
      </c>
      <c r="S494" s="10">
        <v>79.279286226415095</v>
      </c>
      <c r="T494" s="10">
        <v>83.248088269230777</v>
      </c>
      <c r="U494" s="10">
        <v>87.206944615384543</v>
      </c>
      <c r="V494" s="10">
        <v>91.811732692307729</v>
      </c>
      <c r="W494" s="10">
        <v>96.389130961538442</v>
      </c>
      <c r="X494" s="10">
        <v>101.072993018868</v>
      </c>
      <c r="Y494" s="10">
        <v>103.1397939024391</v>
      </c>
      <c r="Z494" s="11">
        <f t="shared" si="7"/>
        <v>0.33971420000000002</v>
      </c>
    </row>
    <row r="495" spans="1:26" x14ac:dyDescent="0.3">
      <c r="A495" t="s">
        <v>494</v>
      </c>
      <c r="B495" t="s">
        <v>2333</v>
      </c>
      <c r="C495" t="s">
        <v>2334</v>
      </c>
      <c r="D495" t="s">
        <v>1014</v>
      </c>
      <c r="E495" t="s">
        <v>1027</v>
      </c>
      <c r="F495" t="s">
        <v>1382</v>
      </c>
      <c r="G495" t="s">
        <v>1383</v>
      </c>
      <c r="H495" s="13">
        <v>28869.007000000001</v>
      </c>
      <c r="I495" s="14">
        <v>13782418.890000001</v>
      </c>
      <c r="J495" t="s">
        <v>1061</v>
      </c>
      <c r="K495" s="10">
        <v>507.447</v>
      </c>
      <c r="U495" s="10">
        <v>427.73037000000011</v>
      </c>
      <c r="V495" s="10">
        <v>448.70561076923087</v>
      </c>
      <c r="W495" s="10">
        <v>471.14201865384609</v>
      </c>
      <c r="X495" s="10">
        <v>482.6151475471699</v>
      </c>
      <c r="Y495" s="10">
        <v>507.23458146341471</v>
      </c>
      <c r="Z495" s="11" t="str">
        <f t="shared" si="7"/>
        <v/>
      </c>
    </row>
    <row r="496" spans="1:26" x14ac:dyDescent="0.3">
      <c r="A496" t="s">
        <v>495</v>
      </c>
      <c r="B496" t="s">
        <v>2335</v>
      </c>
      <c r="C496" t="s">
        <v>2336</v>
      </c>
      <c r="D496" t="s">
        <v>1015</v>
      </c>
      <c r="E496" t="s">
        <v>1032</v>
      </c>
      <c r="F496" t="s">
        <v>1363</v>
      </c>
      <c r="G496" t="s">
        <v>2337</v>
      </c>
      <c r="H496" s="13">
        <v>551375</v>
      </c>
      <c r="I496" s="14">
        <v>13765038.43</v>
      </c>
      <c r="J496" t="s">
        <v>1163</v>
      </c>
      <c r="K496" s="10">
        <v>20.70767</v>
      </c>
      <c r="V496" s="10">
        <v>20.710932499999998</v>
      </c>
      <c r="W496" s="10">
        <v>20.0448725</v>
      </c>
      <c r="X496" s="10">
        <v>20.452117358490561</v>
      </c>
      <c r="Y496" s="10">
        <v>20.794096829268291</v>
      </c>
      <c r="Z496" s="11" t="str">
        <f t="shared" si="7"/>
        <v/>
      </c>
    </row>
    <row r="497" spans="1:26" x14ac:dyDescent="0.3">
      <c r="A497" t="s">
        <v>496</v>
      </c>
      <c r="B497" t="s">
        <v>2338</v>
      </c>
      <c r="C497" t="s">
        <v>2339</v>
      </c>
      <c r="D497" t="s">
        <v>1015</v>
      </c>
      <c r="E497" t="s">
        <v>1022</v>
      </c>
      <c r="F497" t="s">
        <v>2062</v>
      </c>
      <c r="G497" t="s">
        <v>2340</v>
      </c>
      <c r="H497" s="13">
        <v>88446966.914000005</v>
      </c>
      <c r="I497" s="14">
        <v>13600038.25</v>
      </c>
      <c r="J497" t="s">
        <v>1052</v>
      </c>
      <c r="K497" s="10">
        <v>2.7640000000000001E-2</v>
      </c>
      <c r="V497" s="10">
        <v>2.6330270270270271E-2</v>
      </c>
      <c r="W497" s="10">
        <v>2.4422692307692302E-2</v>
      </c>
      <c r="X497" s="10">
        <v>2.7545094339622649E-2</v>
      </c>
      <c r="Y497" s="10">
        <v>2.7879024390243909E-2</v>
      </c>
      <c r="Z497" s="11" t="str">
        <f t="shared" si="7"/>
        <v/>
      </c>
    </row>
    <row r="498" spans="1:26" x14ac:dyDescent="0.3">
      <c r="A498" t="s">
        <v>497</v>
      </c>
      <c r="B498" t="s">
        <v>2341</v>
      </c>
      <c r="C498" t="s">
        <v>2342</v>
      </c>
      <c r="D498" t="s">
        <v>1015</v>
      </c>
      <c r="E498" t="s">
        <v>1032</v>
      </c>
      <c r="F498" t="s">
        <v>2183</v>
      </c>
      <c r="G498" t="s">
        <v>2343</v>
      </c>
      <c r="H498" s="13">
        <v>54684305.623999998</v>
      </c>
      <c r="I498" s="14">
        <v>13561671.939999999</v>
      </c>
      <c r="J498" t="s">
        <v>1052</v>
      </c>
      <c r="K498" s="10">
        <v>4.1910000000000003E-2</v>
      </c>
      <c r="N498" s="10">
        <v>0.17573159999999999</v>
      </c>
      <c r="O498" s="10">
        <v>0.14519115384615389</v>
      </c>
      <c r="P498" s="10">
        <v>0.1026548076923077</v>
      </c>
      <c r="Q498" s="10">
        <v>7.7400961538461571E-2</v>
      </c>
      <c r="R498" s="10">
        <v>6.1375769230769248E-2</v>
      </c>
      <c r="S498" s="10">
        <v>6.6788679245283006E-2</v>
      </c>
      <c r="T498" s="10">
        <v>7.8723269230769277E-2</v>
      </c>
      <c r="U498" s="10">
        <v>6.3875384615384626E-2</v>
      </c>
      <c r="V498" s="10">
        <v>6.2804807692307701E-2</v>
      </c>
      <c r="W498" s="10">
        <v>5.6470192307692298E-2</v>
      </c>
      <c r="X498" s="10">
        <v>5.1417358490566063E-2</v>
      </c>
      <c r="Y498" s="10">
        <v>4.2970487804878048E-2</v>
      </c>
      <c r="Z498" s="11">
        <f t="shared" si="7"/>
        <v>-0.16225313</v>
      </c>
    </row>
    <row r="499" spans="1:26" x14ac:dyDescent="0.3">
      <c r="A499" t="s">
        <v>498</v>
      </c>
      <c r="B499" t="s">
        <v>2344</v>
      </c>
      <c r="C499" t="s">
        <v>2345</v>
      </c>
      <c r="D499" t="s">
        <v>1014</v>
      </c>
      <c r="E499" t="s">
        <v>1030</v>
      </c>
      <c r="F499" t="s">
        <v>2007</v>
      </c>
      <c r="G499" t="s">
        <v>2008</v>
      </c>
      <c r="H499" s="13">
        <v>880240</v>
      </c>
      <c r="I499" s="14">
        <v>13529695.029999999</v>
      </c>
      <c r="J499" t="s">
        <v>1052</v>
      </c>
      <c r="K499" s="10">
        <v>15.80954</v>
      </c>
      <c r="O499" s="10">
        <v>10.669462307692299</v>
      </c>
      <c r="P499" s="10">
        <v>11.260588461538459</v>
      </c>
      <c r="Q499" s="10">
        <v>11.94130923076923</v>
      </c>
      <c r="R499" s="10">
        <v>12.390143846153849</v>
      </c>
      <c r="S499" s="10">
        <v>12.75643943396225</v>
      </c>
      <c r="T499" s="10">
        <v>13.159855</v>
      </c>
      <c r="U499" s="10">
        <v>13.542759999999999</v>
      </c>
      <c r="V499" s="10">
        <v>14.08227673076923</v>
      </c>
      <c r="W499" s="10">
        <v>14.66844134615385</v>
      </c>
      <c r="X499" s="10">
        <v>15.24305754716981</v>
      </c>
      <c r="Y499" s="10">
        <v>15.82775707317073</v>
      </c>
      <c r="Z499" s="11">
        <f t="shared" si="7"/>
        <v>0.23025671</v>
      </c>
    </row>
    <row r="500" spans="1:26" x14ac:dyDescent="0.3">
      <c r="A500" t="s">
        <v>499</v>
      </c>
      <c r="B500" t="s">
        <v>2346</v>
      </c>
      <c r="C500" t="s">
        <v>1940</v>
      </c>
      <c r="D500" t="s">
        <v>1015</v>
      </c>
      <c r="E500" t="s">
        <v>1030</v>
      </c>
      <c r="F500" t="s">
        <v>1382</v>
      </c>
      <c r="G500" t="s">
        <v>1942</v>
      </c>
      <c r="H500" s="13">
        <v>124014.87</v>
      </c>
      <c r="I500" s="14">
        <v>13484806.529999999</v>
      </c>
      <c r="J500" t="s">
        <v>1052</v>
      </c>
      <c r="K500" s="10">
        <v>17.177340000000001</v>
      </c>
      <c r="X500" s="10">
        <v>24.81827943396226</v>
      </c>
      <c r="Y500" s="10">
        <v>15.83259634146342</v>
      </c>
      <c r="Z500" s="11" t="str">
        <f t="shared" si="7"/>
        <v/>
      </c>
    </row>
    <row r="501" spans="1:26" x14ac:dyDescent="0.3">
      <c r="A501" t="s">
        <v>500</v>
      </c>
      <c r="B501" t="s">
        <v>2347</v>
      </c>
      <c r="C501" t="s">
        <v>2238</v>
      </c>
      <c r="D501" t="s">
        <v>1015</v>
      </c>
      <c r="E501" t="s">
        <v>1026</v>
      </c>
      <c r="F501" t="s">
        <v>1608</v>
      </c>
      <c r="G501" t="s">
        <v>2239</v>
      </c>
      <c r="H501" s="13">
        <v>186531656.90000001</v>
      </c>
      <c r="I501" s="14">
        <v>13422947.220000001</v>
      </c>
      <c r="J501" t="s">
        <v>1061</v>
      </c>
      <c r="K501" s="10">
        <v>3.9629999999999999E-2</v>
      </c>
      <c r="M501" s="10">
        <v>3.1276792452830202E-2</v>
      </c>
      <c r="N501" s="10">
        <v>2.9533846153846161E-2</v>
      </c>
      <c r="O501" s="10">
        <v>3.1529423076923087E-2</v>
      </c>
      <c r="P501" s="10">
        <v>2.72228846153846E-2</v>
      </c>
      <c r="Q501" s="10">
        <v>2.465826923076922E-2</v>
      </c>
      <c r="R501" s="10">
        <v>2.2796538461538458E-2</v>
      </c>
      <c r="S501" s="10">
        <v>2.397716981132076E-2</v>
      </c>
      <c r="T501" s="10">
        <v>2.503096153846153E-2</v>
      </c>
      <c r="U501" s="10">
        <v>2.5705192307692311E-2</v>
      </c>
      <c r="V501" s="10">
        <v>2.966788461538462E-2</v>
      </c>
      <c r="W501" s="10">
        <v>3.5323653846153838E-2</v>
      </c>
      <c r="X501" s="10">
        <v>3.9717169811320743E-2</v>
      </c>
      <c r="Y501" s="10">
        <v>3.9336341463414623E-2</v>
      </c>
      <c r="Z501" s="11">
        <f t="shared" si="7"/>
        <v>0.74224564000000004</v>
      </c>
    </row>
    <row r="502" spans="1:26" x14ac:dyDescent="0.3">
      <c r="A502" t="s">
        <v>501</v>
      </c>
      <c r="B502" t="s">
        <v>2348</v>
      </c>
      <c r="C502" t="s">
        <v>2349</v>
      </c>
      <c r="D502" t="s">
        <v>1014</v>
      </c>
      <c r="E502" t="s">
        <v>1019</v>
      </c>
      <c r="F502" t="s">
        <v>1123</v>
      </c>
      <c r="G502" t="s">
        <v>1588</v>
      </c>
      <c r="H502" s="13">
        <v>1256556.6499999999</v>
      </c>
      <c r="I502" s="14">
        <v>13370806.57</v>
      </c>
      <c r="J502" t="s">
        <v>1061</v>
      </c>
      <c r="K502" s="10">
        <v>9.0349000000000004</v>
      </c>
      <c r="M502" s="10">
        <v>20.037129024390239</v>
      </c>
      <c r="N502" s="10">
        <v>24.304754615384631</v>
      </c>
      <c r="O502" s="10">
        <v>27.555090961538468</v>
      </c>
      <c r="P502" s="10">
        <v>29.695432692307691</v>
      </c>
      <c r="Q502" s="10">
        <v>30.622019230769201</v>
      </c>
      <c r="R502" s="10">
        <v>30.320890769230751</v>
      </c>
      <c r="S502" s="10">
        <v>30.190292264150951</v>
      </c>
      <c r="T502" s="10">
        <v>30.180984999999978</v>
      </c>
      <c r="U502" s="10">
        <v>30.219790192307681</v>
      </c>
      <c r="V502" s="10">
        <v>30.16746192307691</v>
      </c>
      <c r="W502" s="10">
        <v>9.4441176923076977</v>
      </c>
      <c r="X502" s="10">
        <v>9.0405715094339616</v>
      </c>
      <c r="Y502" s="10">
        <v>9.0354173170731666</v>
      </c>
      <c r="Z502" s="11">
        <f t="shared" si="7"/>
        <v>-0.70183688</v>
      </c>
    </row>
    <row r="503" spans="1:26" x14ac:dyDescent="0.3">
      <c r="A503" t="s">
        <v>502</v>
      </c>
      <c r="B503" t="s">
        <v>2350</v>
      </c>
      <c r="C503" t="s">
        <v>1153</v>
      </c>
      <c r="D503" t="s">
        <v>1014</v>
      </c>
      <c r="E503" t="s">
        <v>1023</v>
      </c>
      <c r="F503" t="s">
        <v>1050</v>
      </c>
      <c r="G503" t="s">
        <v>1154</v>
      </c>
      <c r="H503" s="13">
        <v>187122</v>
      </c>
      <c r="I503" s="14">
        <v>13315686.08</v>
      </c>
      <c r="J503" t="s">
        <v>1052</v>
      </c>
      <c r="K503" s="10">
        <v>74.941469999999995</v>
      </c>
      <c r="S503" s="10">
        <v>59.681828372093037</v>
      </c>
      <c r="T503" s="10">
        <v>62.495331153846173</v>
      </c>
      <c r="U503" s="10">
        <v>66.058603846153915</v>
      </c>
      <c r="V503" s="10">
        <v>69.952452307692383</v>
      </c>
      <c r="W503" s="10">
        <v>71.302607307692341</v>
      </c>
      <c r="X503" s="10">
        <v>71.306022641509415</v>
      </c>
      <c r="Y503" s="10">
        <v>72.717640731707348</v>
      </c>
      <c r="Z503" s="11" t="str">
        <f t="shared" si="7"/>
        <v/>
      </c>
    </row>
    <row r="504" spans="1:26" x14ac:dyDescent="0.3">
      <c r="A504" t="s">
        <v>503</v>
      </c>
      <c r="B504" t="s">
        <v>2351</v>
      </c>
      <c r="C504" t="s">
        <v>2352</v>
      </c>
      <c r="D504" t="s">
        <v>1014</v>
      </c>
      <c r="E504" t="s">
        <v>1018</v>
      </c>
      <c r="F504" t="s">
        <v>1092</v>
      </c>
      <c r="G504" t="s">
        <v>1457</v>
      </c>
      <c r="H504" s="13">
        <v>47347.5</v>
      </c>
      <c r="I504" s="14">
        <v>13262969.98</v>
      </c>
      <c r="J504" t="s">
        <v>1061</v>
      </c>
      <c r="K504" s="10">
        <v>281.80579</v>
      </c>
      <c r="X504" s="10">
        <v>275.82176840909102</v>
      </c>
      <c r="Y504" s="10">
        <v>281.40769853658537</v>
      </c>
      <c r="Z504" s="11" t="str">
        <f t="shared" si="7"/>
        <v/>
      </c>
    </row>
    <row r="505" spans="1:26" x14ac:dyDescent="0.3">
      <c r="A505" t="s">
        <v>504</v>
      </c>
      <c r="B505" t="s">
        <v>2353</v>
      </c>
      <c r="C505" t="s">
        <v>2354</v>
      </c>
      <c r="D505" t="s">
        <v>1015</v>
      </c>
      <c r="E505" t="s">
        <v>1032</v>
      </c>
      <c r="F505" t="s">
        <v>1485</v>
      </c>
      <c r="G505" t="s">
        <v>1611</v>
      </c>
      <c r="H505" s="13">
        <v>124406891.913</v>
      </c>
      <c r="I505" s="14">
        <v>13235225.27</v>
      </c>
      <c r="J505" t="s">
        <v>1061</v>
      </c>
      <c r="K505" s="10">
        <v>6.0440000000000001E-2</v>
      </c>
      <c r="M505" s="10">
        <v>4.4012264150943399E-2</v>
      </c>
      <c r="N505" s="10">
        <v>4.2466346153846139E-2</v>
      </c>
      <c r="O505" s="10">
        <v>4.1497884615384617E-2</v>
      </c>
      <c r="P505" s="10">
        <v>3.7414807692307699E-2</v>
      </c>
      <c r="Q505" s="10">
        <v>3.6895384615384622E-2</v>
      </c>
      <c r="R505" s="10">
        <v>3.7625384615384609E-2</v>
      </c>
      <c r="S505" s="10">
        <v>4.110584905660377E-2</v>
      </c>
      <c r="T505" s="10">
        <v>4.2176538461538453E-2</v>
      </c>
      <c r="U505" s="10">
        <v>4.2294230769230771E-2</v>
      </c>
      <c r="V505" s="10">
        <v>5.7500961538461577E-2</v>
      </c>
      <c r="W505" s="10">
        <v>6.2781153846153875E-2</v>
      </c>
      <c r="X505" s="10">
        <v>6.1430566037735883E-2</v>
      </c>
      <c r="Y505" s="10">
        <v>5.9888048780487778E-2</v>
      </c>
      <c r="Z505" s="11">
        <f t="shared" si="7"/>
        <v>0.63268937999999997</v>
      </c>
    </row>
    <row r="506" spans="1:26" x14ac:dyDescent="0.3">
      <c r="A506" t="s">
        <v>505</v>
      </c>
      <c r="B506" t="s">
        <v>2355</v>
      </c>
      <c r="C506" t="s">
        <v>2356</v>
      </c>
      <c r="D506" t="s">
        <v>1015</v>
      </c>
      <c r="E506" t="s">
        <v>1030</v>
      </c>
      <c r="F506" t="s">
        <v>1608</v>
      </c>
      <c r="G506" t="s">
        <v>2357</v>
      </c>
      <c r="H506" s="13">
        <v>11483790.545</v>
      </c>
      <c r="I506" s="14">
        <v>13234860.18</v>
      </c>
      <c r="J506" t="s">
        <v>1052</v>
      </c>
      <c r="K506" s="10">
        <v>0.57140999999999997</v>
      </c>
      <c r="M506" s="10">
        <v>2.1124420754716979</v>
      </c>
      <c r="N506" s="10">
        <v>2.0008848076923078</v>
      </c>
      <c r="O506" s="10">
        <v>1.7729163461538471</v>
      </c>
      <c r="P506" s="10">
        <v>1.4642401923076931</v>
      </c>
      <c r="Q506" s="10">
        <v>1.274280961538462</v>
      </c>
      <c r="R506" s="10">
        <v>1.0584480769230771</v>
      </c>
      <c r="S506" s="10">
        <v>0.91346584905660366</v>
      </c>
      <c r="T506" s="10">
        <v>0.80813096153846153</v>
      </c>
      <c r="U506" s="10">
        <v>0.7926253846153849</v>
      </c>
      <c r="V506" s="10">
        <v>0.84020000000000017</v>
      </c>
      <c r="W506" s="10">
        <v>0.80058788461538455</v>
      </c>
      <c r="X506" s="10">
        <v>0.72812773584905632</v>
      </c>
      <c r="Y506" s="10">
        <v>0.58772000000000013</v>
      </c>
      <c r="Z506" s="11">
        <f t="shared" si="7"/>
        <v>-0.31207986999999998</v>
      </c>
    </row>
    <row r="507" spans="1:26" x14ac:dyDescent="0.3">
      <c r="A507" t="s">
        <v>506</v>
      </c>
      <c r="B507" t="s">
        <v>2358</v>
      </c>
      <c r="C507" t="s">
        <v>2359</v>
      </c>
      <c r="D507" t="s">
        <v>1014</v>
      </c>
      <c r="E507" t="s">
        <v>1023</v>
      </c>
      <c r="F507" t="s">
        <v>1050</v>
      </c>
      <c r="G507" t="s">
        <v>2360</v>
      </c>
      <c r="H507" s="13">
        <v>93309</v>
      </c>
      <c r="I507" s="14">
        <v>13203280.109999999</v>
      </c>
      <c r="J507" t="s">
        <v>1052</v>
      </c>
      <c r="K507" s="10">
        <v>150.14315999999999</v>
      </c>
      <c r="M507" s="10">
        <v>79.10634867924523</v>
      </c>
      <c r="N507" s="10">
        <v>82.514289999999974</v>
      </c>
      <c r="O507" s="10">
        <v>89.816133653846165</v>
      </c>
      <c r="P507" s="10">
        <v>96.131485769230807</v>
      </c>
      <c r="Q507" s="10">
        <v>99.708802884615352</v>
      </c>
      <c r="R507" s="10">
        <v>103.738795</v>
      </c>
      <c r="S507" s="10">
        <v>109.74022905660379</v>
      </c>
      <c r="T507" s="10">
        <v>115.3674686538461</v>
      </c>
      <c r="U507" s="10">
        <v>121.2247771153848</v>
      </c>
      <c r="V507" s="10">
        <v>128.3704061538462</v>
      </c>
      <c r="W507" s="10">
        <v>134.85209230769229</v>
      </c>
      <c r="X507" s="10">
        <v>142.8100960377358</v>
      </c>
      <c r="Y507" s="10">
        <v>149.93057390243899</v>
      </c>
      <c r="Z507" s="11">
        <f t="shared" si="7"/>
        <v>0.37663152999999999</v>
      </c>
    </row>
    <row r="508" spans="1:26" x14ac:dyDescent="0.3">
      <c r="A508" t="s">
        <v>507</v>
      </c>
      <c r="B508" t="s">
        <v>2361</v>
      </c>
      <c r="C508" t="s">
        <v>2362</v>
      </c>
      <c r="D508" t="s">
        <v>1015</v>
      </c>
      <c r="E508" t="s">
        <v>1032</v>
      </c>
      <c r="F508" t="s">
        <v>1363</v>
      </c>
      <c r="G508" t="s">
        <v>2363</v>
      </c>
      <c r="H508" s="13">
        <v>3137303</v>
      </c>
      <c r="I508" s="14">
        <v>13149331.640000001</v>
      </c>
      <c r="J508" t="s">
        <v>1052</v>
      </c>
      <c r="K508" s="10">
        <v>3.8971</v>
      </c>
      <c r="U508" s="10">
        <v>3.8551614999999999</v>
      </c>
      <c r="V508" s="10">
        <v>3.8094561538461562</v>
      </c>
      <c r="W508" s="10">
        <v>3.7773034615384602</v>
      </c>
      <c r="X508" s="10">
        <v>3.8208803773584918</v>
      </c>
      <c r="Y508" s="10">
        <v>3.8662397560975581</v>
      </c>
      <c r="Z508" s="11" t="str">
        <f t="shared" si="7"/>
        <v/>
      </c>
    </row>
    <row r="509" spans="1:26" x14ac:dyDescent="0.3">
      <c r="A509" t="s">
        <v>508</v>
      </c>
      <c r="B509" t="s">
        <v>2364</v>
      </c>
      <c r="C509" t="s">
        <v>1823</v>
      </c>
      <c r="D509" t="s">
        <v>1015</v>
      </c>
      <c r="E509" t="s">
        <v>1029</v>
      </c>
      <c r="F509" t="s">
        <v>2365</v>
      </c>
      <c r="G509" t="s">
        <v>1824</v>
      </c>
      <c r="H509" s="13">
        <v>201577441.80000001</v>
      </c>
      <c r="I509" s="14">
        <v>13148697.210000001</v>
      </c>
      <c r="J509" t="s">
        <v>1061</v>
      </c>
      <c r="K509" s="10">
        <v>3.8400000000000001E-3</v>
      </c>
      <c r="W509" s="10">
        <v>4.1941666666666646E-3</v>
      </c>
      <c r="X509" s="10">
        <v>3.236415094339621E-3</v>
      </c>
      <c r="Y509" s="10">
        <v>3.7297560975609748E-3</v>
      </c>
      <c r="Z509" s="11" t="str">
        <f t="shared" si="7"/>
        <v/>
      </c>
    </row>
    <row r="510" spans="1:26" x14ac:dyDescent="0.3">
      <c r="A510" t="s">
        <v>509</v>
      </c>
      <c r="B510" t="s">
        <v>2366</v>
      </c>
      <c r="C510" t="s">
        <v>2367</v>
      </c>
      <c r="D510" t="s">
        <v>1014</v>
      </c>
      <c r="E510" t="s">
        <v>1027</v>
      </c>
      <c r="F510" t="s">
        <v>1068</v>
      </c>
      <c r="G510" t="s">
        <v>1069</v>
      </c>
      <c r="H510" s="13">
        <v>5784.2629999999999</v>
      </c>
      <c r="I510" s="14">
        <v>13112257.050000001</v>
      </c>
      <c r="J510" t="s">
        <v>1061</v>
      </c>
      <c r="K510" s="10">
        <v>2337.0483300000001</v>
      </c>
      <c r="M510" s="10">
        <v>1186.2536226415091</v>
      </c>
      <c r="N510" s="10">
        <v>1265.2984098076929</v>
      </c>
      <c r="O510" s="10">
        <v>1390.760581538462</v>
      </c>
      <c r="P510" s="10">
        <v>1489.996194038461</v>
      </c>
      <c r="Q510" s="10">
        <v>1604.148440384615</v>
      </c>
      <c r="R510" s="10">
        <v>1708.154307692309</v>
      </c>
      <c r="S510" s="10">
        <v>1798.6792532075481</v>
      </c>
      <c r="T510" s="10">
        <v>1881.258105769233</v>
      </c>
      <c r="U510" s="10">
        <v>1993.8199728846139</v>
      </c>
      <c r="V510" s="10">
        <v>2134.360303846152</v>
      </c>
      <c r="W510" s="10">
        <v>2227.403246538463</v>
      </c>
      <c r="X510" s="10">
        <v>2281.077095849058</v>
      </c>
      <c r="Y510" s="10">
        <v>2337.387936341464</v>
      </c>
      <c r="Z510" s="11">
        <f t="shared" si="7"/>
        <v>0.33540459</v>
      </c>
    </row>
    <row r="511" spans="1:26" x14ac:dyDescent="0.3">
      <c r="A511" t="s">
        <v>510</v>
      </c>
      <c r="B511" t="s">
        <v>2368</v>
      </c>
      <c r="C511" t="s">
        <v>2369</v>
      </c>
      <c r="D511" t="s">
        <v>1014</v>
      </c>
      <c r="E511" t="s">
        <v>1023</v>
      </c>
      <c r="F511" t="s">
        <v>1050</v>
      </c>
      <c r="G511" t="s">
        <v>2370</v>
      </c>
      <c r="H511" s="13">
        <v>107033</v>
      </c>
      <c r="I511" s="14">
        <v>13081842.630000001</v>
      </c>
      <c r="J511" t="s">
        <v>1052</v>
      </c>
      <c r="K511" s="10">
        <v>130.31416999999999</v>
      </c>
      <c r="M511" s="10">
        <v>65.92899735849052</v>
      </c>
      <c r="N511" s="10">
        <v>69.928194545454502</v>
      </c>
      <c r="O511" s="10">
        <v>77.638244423076927</v>
      </c>
      <c r="P511" s="10">
        <v>83.161596153846162</v>
      </c>
      <c r="Q511" s="10">
        <v>86.23835961538461</v>
      </c>
      <c r="R511" s="10">
        <v>89.846202307692366</v>
      </c>
      <c r="S511" s="10">
        <v>95.147126792452838</v>
      </c>
      <c r="T511" s="10">
        <v>99.666553269230775</v>
      </c>
      <c r="U511" s="10">
        <v>105.37577653846159</v>
      </c>
      <c r="V511" s="10">
        <v>111.5871869230769</v>
      </c>
      <c r="W511" s="10">
        <v>117.0612709615385</v>
      </c>
      <c r="X511" s="10">
        <v>124.0164409433963</v>
      </c>
      <c r="Y511" s="10">
        <v>130.20585365853651</v>
      </c>
      <c r="Z511" s="11">
        <f t="shared" si="7"/>
        <v>0.38031923000000001</v>
      </c>
    </row>
    <row r="512" spans="1:26" x14ac:dyDescent="0.3">
      <c r="A512" t="s">
        <v>511</v>
      </c>
      <c r="B512" t="s">
        <v>2371</v>
      </c>
      <c r="C512" t="s">
        <v>1514</v>
      </c>
      <c r="D512" t="s">
        <v>1014</v>
      </c>
      <c r="E512" t="s">
        <v>1021</v>
      </c>
      <c r="F512" t="s">
        <v>1096</v>
      </c>
      <c r="G512" t="s">
        <v>1515</v>
      </c>
      <c r="H512" s="13">
        <v>221681.2</v>
      </c>
      <c r="I512" s="14">
        <v>13048825.35</v>
      </c>
      <c r="J512" t="s">
        <v>1052</v>
      </c>
      <c r="K512" s="10">
        <v>11.832000000000001</v>
      </c>
      <c r="T512" s="10">
        <v>9.4560830769230773</v>
      </c>
      <c r="U512" s="10">
        <v>10.1234776923077</v>
      </c>
      <c r="V512" s="10">
        <v>10.934615769230779</v>
      </c>
      <c r="W512" s="10">
        <v>11.231346153846159</v>
      </c>
      <c r="X512" s="10">
        <v>11.49402698113207</v>
      </c>
      <c r="Y512" s="10">
        <v>11.826270975609759</v>
      </c>
      <c r="Z512" s="11" t="str">
        <f t="shared" si="7"/>
        <v/>
      </c>
    </row>
    <row r="513" spans="1:26" x14ac:dyDescent="0.3">
      <c r="A513" t="s">
        <v>512</v>
      </c>
      <c r="B513" t="s">
        <v>2372</v>
      </c>
      <c r="C513" t="s">
        <v>1252</v>
      </c>
      <c r="D513" t="s">
        <v>1014</v>
      </c>
      <c r="E513" t="s">
        <v>1018</v>
      </c>
      <c r="F513" t="s">
        <v>1096</v>
      </c>
      <c r="G513" t="s">
        <v>1253</v>
      </c>
      <c r="H513" s="13">
        <v>1160948</v>
      </c>
      <c r="I513" s="14">
        <v>13043491.51</v>
      </c>
      <c r="J513" t="s">
        <v>1052</v>
      </c>
      <c r="K513" s="10">
        <v>11.592700000000001</v>
      </c>
      <c r="O513" s="10">
        <v>6.2685017307692341</v>
      </c>
      <c r="P513" s="10">
        <v>6.6885692307692306</v>
      </c>
      <c r="Q513" s="10">
        <v>7.3967853846153808</v>
      </c>
      <c r="R513" s="10">
        <v>8.0997926923076857</v>
      </c>
      <c r="S513" s="10">
        <v>8.6892984905660349</v>
      </c>
      <c r="T513" s="10">
        <v>9.3048890384615408</v>
      </c>
      <c r="U513" s="10">
        <v>10.050805192307701</v>
      </c>
      <c r="V513" s="10">
        <v>10.67550365384615</v>
      </c>
      <c r="W513" s="10">
        <v>10.990608076923071</v>
      </c>
      <c r="X513" s="10">
        <v>11.25523698113208</v>
      </c>
      <c r="Y513" s="10">
        <v>11.591776097560979</v>
      </c>
      <c r="Z513" s="11">
        <f t="shared" si="7"/>
        <v>0.38957099000000001</v>
      </c>
    </row>
    <row r="514" spans="1:26" x14ac:dyDescent="0.3">
      <c r="A514" t="s">
        <v>513</v>
      </c>
      <c r="B514" t="s">
        <v>2373</v>
      </c>
      <c r="C514" t="s">
        <v>2374</v>
      </c>
      <c r="D514" t="s">
        <v>1015</v>
      </c>
      <c r="E514" t="s">
        <v>1032</v>
      </c>
      <c r="F514" t="s">
        <v>1485</v>
      </c>
      <c r="G514" t="s">
        <v>2264</v>
      </c>
      <c r="H514" s="13">
        <v>870377.4</v>
      </c>
      <c r="I514" s="14">
        <v>12936647.65</v>
      </c>
      <c r="J514" t="s">
        <v>1163</v>
      </c>
      <c r="K514" s="10">
        <v>18.53679</v>
      </c>
      <c r="W514" s="10">
        <v>19.068039423076929</v>
      </c>
      <c r="X514" s="10">
        <v>20.27139716981133</v>
      </c>
      <c r="Y514" s="10">
        <v>20.083061951219509</v>
      </c>
      <c r="Z514" s="11" t="str">
        <f t="shared" ref="Z514:Z577" si="8">IF(AND(ISNUMBER(INDEX($L514:$Y514,MATCH(BaseYear,p_years,0))),ISNUMBER(INDEX($L514:$Y514,MATCH(EndYear,p_years,0)))),ROUND(INDEX($L514:$Y514,MATCH(EndYear,p_years,0))/INDEX($L514:$Y514,MATCH(BaseYear,p_years,0))-1,8),"")</f>
        <v/>
      </c>
    </row>
    <row r="515" spans="1:26" x14ac:dyDescent="0.3">
      <c r="A515" t="s">
        <v>514</v>
      </c>
      <c r="B515" t="s">
        <v>2375</v>
      </c>
      <c r="C515" t="s">
        <v>2376</v>
      </c>
      <c r="D515" t="s">
        <v>1014</v>
      </c>
      <c r="E515" t="s">
        <v>1027</v>
      </c>
      <c r="F515" t="s">
        <v>1241</v>
      </c>
      <c r="G515" t="s">
        <v>2377</v>
      </c>
      <c r="H515" s="13">
        <v>7036037.5999999996</v>
      </c>
      <c r="I515" s="14">
        <v>12866033.93</v>
      </c>
      <c r="J515" t="s">
        <v>1061</v>
      </c>
      <c r="K515" s="10">
        <v>1.91893</v>
      </c>
      <c r="M515" s="10">
        <v>1.1692092452830181</v>
      </c>
      <c r="N515" s="10">
        <v>1.2896115384615381</v>
      </c>
      <c r="O515" s="10">
        <v>1.3616611538461529</v>
      </c>
      <c r="P515" s="10">
        <v>1.415946923076923</v>
      </c>
      <c r="Q515" s="10">
        <v>1.459237692307692</v>
      </c>
      <c r="R515" s="10">
        <v>1.460733846153847</v>
      </c>
      <c r="S515" s="10">
        <v>1.496322264150943</v>
      </c>
      <c r="T515" s="10">
        <v>1.5444736538461541</v>
      </c>
      <c r="U515" s="10">
        <v>1.653894423076923</v>
      </c>
      <c r="V515" s="10">
        <v>1.7543392307692289</v>
      </c>
      <c r="W515" s="10">
        <v>1.8334398076923071</v>
      </c>
      <c r="X515" s="10">
        <v>1.8745616981132069</v>
      </c>
      <c r="Y515" s="10">
        <v>1.9195019512195131</v>
      </c>
      <c r="Z515" s="11">
        <f t="shared" si="8"/>
        <v>0.28330134000000001</v>
      </c>
    </row>
    <row r="516" spans="1:26" x14ac:dyDescent="0.3">
      <c r="A516" t="s">
        <v>515</v>
      </c>
      <c r="B516" t="s">
        <v>2378</v>
      </c>
      <c r="C516" t="s">
        <v>2379</v>
      </c>
      <c r="D516" t="s">
        <v>1014</v>
      </c>
      <c r="E516" t="s">
        <v>1019</v>
      </c>
      <c r="F516" t="s">
        <v>1305</v>
      </c>
      <c r="G516" t="s">
        <v>1662</v>
      </c>
      <c r="H516" s="13">
        <v>2334484</v>
      </c>
      <c r="I516" s="14">
        <v>12827509.67</v>
      </c>
      <c r="J516" t="s">
        <v>1052</v>
      </c>
      <c r="K516" s="10">
        <v>5.2840299999999996</v>
      </c>
      <c r="M516" s="10">
        <v>4.6896824528301897</v>
      </c>
      <c r="N516" s="10">
        <v>5.3952478846153822</v>
      </c>
      <c r="O516" s="10">
        <v>5.8561961538461524</v>
      </c>
      <c r="P516" s="10">
        <v>6.2430880769230761</v>
      </c>
      <c r="Q516" s="10">
        <v>6.8591796153846234</v>
      </c>
      <c r="R516" s="10">
        <v>7.2014584615384569</v>
      </c>
      <c r="S516" s="10">
        <v>7.5585709433962203</v>
      </c>
      <c r="T516" s="10">
        <v>7.9330407692307752</v>
      </c>
      <c r="U516" s="10">
        <v>8.3377975000000024</v>
      </c>
      <c r="V516" s="10">
        <v>8.7436153846153921</v>
      </c>
      <c r="W516" s="10">
        <v>9.1602209615384673</v>
      </c>
      <c r="X516" s="10">
        <v>5.283666037735852</v>
      </c>
      <c r="Y516" s="10">
        <v>5.2841319512195124</v>
      </c>
      <c r="Z516" s="11">
        <f t="shared" si="8"/>
        <v>-0.26630610999999998</v>
      </c>
    </row>
    <row r="517" spans="1:26" x14ac:dyDescent="0.3">
      <c r="A517" t="s">
        <v>516</v>
      </c>
      <c r="B517" t="s">
        <v>2380</v>
      </c>
      <c r="C517" t="s">
        <v>2381</v>
      </c>
      <c r="D517" t="s">
        <v>1015</v>
      </c>
      <c r="E517" t="s">
        <v>1030</v>
      </c>
      <c r="F517" t="s">
        <v>2108</v>
      </c>
      <c r="G517" t="s">
        <v>2201</v>
      </c>
      <c r="H517" s="13">
        <v>59178127</v>
      </c>
      <c r="I517" s="14">
        <v>12780571.380000001</v>
      </c>
      <c r="J517" t="s">
        <v>1052</v>
      </c>
      <c r="K517" s="10">
        <v>4.7199999999999999E-2</v>
      </c>
      <c r="T517" s="10">
        <v>6.0898837209302323E-2</v>
      </c>
      <c r="U517" s="10">
        <v>5.7104423076923053E-2</v>
      </c>
      <c r="V517" s="10">
        <v>5.4727884615384609E-2</v>
      </c>
      <c r="W517" s="10">
        <v>5.0229615384615393E-2</v>
      </c>
      <c r="X517" s="10">
        <v>4.8563962264150953E-2</v>
      </c>
      <c r="Y517" s="10">
        <v>4.4645609756097562E-2</v>
      </c>
      <c r="Z517" s="11" t="str">
        <f t="shared" si="8"/>
        <v/>
      </c>
    </row>
    <row r="518" spans="1:26" x14ac:dyDescent="0.3">
      <c r="A518" t="s">
        <v>517</v>
      </c>
      <c r="B518" t="s">
        <v>2382</v>
      </c>
      <c r="C518" t="s">
        <v>2383</v>
      </c>
      <c r="D518" t="s">
        <v>1014</v>
      </c>
      <c r="E518" t="s">
        <v>1027</v>
      </c>
      <c r="F518" t="s">
        <v>1811</v>
      </c>
      <c r="G518" t="s">
        <v>2384</v>
      </c>
      <c r="H518" s="13">
        <v>4563668</v>
      </c>
      <c r="I518" s="14">
        <v>12767497.59</v>
      </c>
      <c r="J518" t="s">
        <v>1061</v>
      </c>
      <c r="K518" s="10">
        <v>2.7673899999999998</v>
      </c>
      <c r="V518" s="10">
        <v>2.7602559615384621</v>
      </c>
      <c r="W518" s="10">
        <v>2.7649436538461538</v>
      </c>
      <c r="X518" s="10">
        <v>2.7674128301886798</v>
      </c>
      <c r="Y518" s="10">
        <v>2.765451707317073</v>
      </c>
      <c r="Z518" s="11" t="str">
        <f t="shared" si="8"/>
        <v/>
      </c>
    </row>
    <row r="519" spans="1:26" x14ac:dyDescent="0.3">
      <c r="A519" t="s">
        <v>518</v>
      </c>
      <c r="B519" t="s">
        <v>2385</v>
      </c>
      <c r="C519" t="s">
        <v>2386</v>
      </c>
      <c r="D519" t="s">
        <v>1014</v>
      </c>
      <c r="E519" t="s">
        <v>1027</v>
      </c>
      <c r="F519" t="s">
        <v>1984</v>
      </c>
      <c r="G519" t="s">
        <v>1985</v>
      </c>
      <c r="H519" s="13">
        <v>323514</v>
      </c>
      <c r="I519" s="14">
        <v>12645196.74</v>
      </c>
      <c r="J519" t="s">
        <v>1052</v>
      </c>
      <c r="K519" s="10">
        <v>39.087220000000002</v>
      </c>
      <c r="W519" s="10">
        <v>39.203372127659563</v>
      </c>
      <c r="X519" s="10">
        <v>39.165215849056629</v>
      </c>
      <c r="Y519" s="10">
        <v>39.129938780487798</v>
      </c>
      <c r="Z519" s="11" t="str">
        <f t="shared" si="8"/>
        <v/>
      </c>
    </row>
    <row r="520" spans="1:26" x14ac:dyDescent="0.3">
      <c r="A520" t="s">
        <v>519</v>
      </c>
      <c r="B520" t="s">
        <v>2387</v>
      </c>
      <c r="C520" t="s">
        <v>2388</v>
      </c>
      <c r="D520" t="s">
        <v>1015</v>
      </c>
      <c r="E520" t="s">
        <v>1032</v>
      </c>
      <c r="F520" t="s">
        <v>1363</v>
      </c>
      <c r="G520" t="s">
        <v>2363</v>
      </c>
      <c r="H520" s="13">
        <v>3015780</v>
      </c>
      <c r="I520" s="14">
        <v>12623529.09</v>
      </c>
      <c r="J520" t="s">
        <v>1052</v>
      </c>
      <c r="K520" s="10">
        <v>3.91371</v>
      </c>
      <c r="U520" s="10">
        <v>3.788269000000001</v>
      </c>
      <c r="V520" s="10">
        <v>3.7651296153846152</v>
      </c>
      <c r="W520" s="10">
        <v>3.730891730769232</v>
      </c>
      <c r="X520" s="10">
        <v>3.8132967924528312</v>
      </c>
      <c r="Y520" s="10">
        <v>3.8562565853658541</v>
      </c>
      <c r="Z520" s="11" t="str">
        <f t="shared" si="8"/>
        <v/>
      </c>
    </row>
    <row r="521" spans="1:26" x14ac:dyDescent="0.3">
      <c r="A521" t="s">
        <v>520</v>
      </c>
      <c r="B521" t="s">
        <v>2389</v>
      </c>
      <c r="C521" t="s">
        <v>2390</v>
      </c>
      <c r="D521" t="s">
        <v>1014</v>
      </c>
      <c r="E521" t="s">
        <v>1027</v>
      </c>
      <c r="F521" t="s">
        <v>2019</v>
      </c>
      <c r="G521" t="s">
        <v>2020</v>
      </c>
      <c r="H521" s="13">
        <v>5891</v>
      </c>
      <c r="I521" s="14">
        <v>12585691.07</v>
      </c>
      <c r="J521" t="s">
        <v>1052</v>
      </c>
      <c r="K521" s="10">
        <v>8776.2523099999999</v>
      </c>
      <c r="N521" s="10">
        <v>5005.1085627272732</v>
      </c>
      <c r="O521" s="10">
        <v>5483.9900198076894</v>
      </c>
      <c r="P521" s="10">
        <v>6025.8124417307663</v>
      </c>
      <c r="Q521" s="10">
        <v>6568.9177275000029</v>
      </c>
      <c r="R521" s="10">
        <v>6711.5024453846117</v>
      </c>
      <c r="S521" s="10">
        <v>6873.409384905659</v>
      </c>
      <c r="T521" s="10">
        <v>7022.7582723076857</v>
      </c>
      <c r="U521" s="10">
        <v>7286.6140419230805</v>
      </c>
      <c r="V521" s="10">
        <v>7712.779291346149</v>
      </c>
      <c r="W521" s="10">
        <v>8027.9368611538439</v>
      </c>
      <c r="X521" s="10">
        <v>8369.7276052830202</v>
      </c>
      <c r="Y521" s="10">
        <v>8798.6953212195131</v>
      </c>
      <c r="Z521" s="11">
        <f t="shared" si="8"/>
        <v>0.24707212000000001</v>
      </c>
    </row>
    <row r="522" spans="1:26" x14ac:dyDescent="0.3">
      <c r="A522" t="s">
        <v>521</v>
      </c>
      <c r="B522" t="s">
        <v>2391</v>
      </c>
      <c r="C522" t="s">
        <v>2392</v>
      </c>
      <c r="D522" t="s">
        <v>1015</v>
      </c>
      <c r="E522" t="s">
        <v>1032</v>
      </c>
      <c r="F522" t="s">
        <v>1608</v>
      </c>
      <c r="G522" t="s">
        <v>2393</v>
      </c>
      <c r="H522" s="13">
        <v>395064.89299999998</v>
      </c>
      <c r="I522" s="14">
        <v>12575635.74</v>
      </c>
      <c r="J522" t="s">
        <v>1061</v>
      </c>
      <c r="K522" s="10">
        <v>0.89800999999999997</v>
      </c>
      <c r="M522" s="10">
        <v>0.81989943396226417</v>
      </c>
      <c r="N522" s="10">
        <v>0.80476615384615391</v>
      </c>
      <c r="O522" s="10">
        <v>0.78292634615384615</v>
      </c>
      <c r="P522" s="10">
        <v>0.7272500000000004</v>
      </c>
      <c r="Q522" s="10">
        <v>0.67516923076923063</v>
      </c>
      <c r="R522" s="10">
        <v>0.94002211538461466</v>
      </c>
      <c r="S522" s="10">
        <v>0.93847694444444452</v>
      </c>
      <c r="T522" s="10">
        <v>1.097494615384615</v>
      </c>
      <c r="U522" s="10">
        <v>0.92414826923076909</v>
      </c>
      <c r="V522" s="10">
        <v>0.89084826923076954</v>
      </c>
      <c r="W522" s="10">
        <v>0.90713326923076987</v>
      </c>
      <c r="X522" s="10">
        <v>0.91005452830188649</v>
      </c>
      <c r="Y522" s="10">
        <v>0.936531463414634</v>
      </c>
      <c r="Z522" s="11">
        <f t="shared" si="8"/>
        <v>-3.1879659999999997E-2</v>
      </c>
    </row>
    <row r="523" spans="1:26" x14ac:dyDescent="0.3">
      <c r="A523" t="s">
        <v>522</v>
      </c>
      <c r="B523" t="s">
        <v>2394</v>
      </c>
      <c r="C523" t="s">
        <v>2395</v>
      </c>
      <c r="D523" t="s">
        <v>1014</v>
      </c>
      <c r="E523" t="s">
        <v>1023</v>
      </c>
      <c r="F523" t="s">
        <v>1050</v>
      </c>
      <c r="G523" t="s">
        <v>1051</v>
      </c>
      <c r="H523" s="13">
        <v>92489</v>
      </c>
      <c r="I523" s="14">
        <v>12505563.140000001</v>
      </c>
      <c r="J523" t="s">
        <v>1052</v>
      </c>
      <c r="K523" s="10">
        <v>136.65502000000001</v>
      </c>
      <c r="W523" s="10">
        <v>128.8023046875</v>
      </c>
      <c r="X523" s="10">
        <v>136.19827358490571</v>
      </c>
      <c r="Y523" s="10">
        <v>136.67023609756089</v>
      </c>
      <c r="Z523" s="11" t="str">
        <f t="shared" si="8"/>
        <v/>
      </c>
    </row>
    <row r="524" spans="1:26" x14ac:dyDescent="0.3">
      <c r="A524" t="s">
        <v>523</v>
      </c>
      <c r="B524" t="s">
        <v>2396</v>
      </c>
      <c r="C524" t="s">
        <v>2397</v>
      </c>
      <c r="D524" t="s">
        <v>1015</v>
      </c>
      <c r="E524" t="s">
        <v>1020</v>
      </c>
      <c r="F524" t="s">
        <v>1363</v>
      </c>
      <c r="G524" t="s">
        <v>2398</v>
      </c>
      <c r="H524" s="13">
        <v>151328.16500000001</v>
      </c>
      <c r="I524" s="14">
        <v>12444209.220000001</v>
      </c>
      <c r="J524" t="s">
        <v>1052</v>
      </c>
      <c r="K524" s="10">
        <v>46.354100000000003</v>
      </c>
      <c r="S524" s="10">
        <v>114.38828760869571</v>
      </c>
      <c r="T524" s="10">
        <v>106.7150169230769</v>
      </c>
      <c r="U524" s="10">
        <v>90.145037115384667</v>
      </c>
      <c r="V524" s="10">
        <v>79.800013653846179</v>
      </c>
      <c r="W524" s="10">
        <v>58.082185961538492</v>
      </c>
      <c r="X524" s="10">
        <v>51.190180377358502</v>
      </c>
      <c r="Y524" s="10">
        <v>48.612485609756092</v>
      </c>
      <c r="Z524" s="11" t="str">
        <f t="shared" si="8"/>
        <v/>
      </c>
    </row>
    <row r="525" spans="1:26" x14ac:dyDescent="0.3">
      <c r="A525" t="s">
        <v>524</v>
      </c>
      <c r="B525" t="s">
        <v>2399</v>
      </c>
      <c r="C525" t="s">
        <v>2400</v>
      </c>
      <c r="D525" t="s">
        <v>1015</v>
      </c>
      <c r="E525" t="s">
        <v>1705</v>
      </c>
      <c r="F525" t="s">
        <v>2401</v>
      </c>
      <c r="G525" t="s">
        <v>2402</v>
      </c>
      <c r="H525" s="13">
        <v>901826</v>
      </c>
      <c r="I525" s="14">
        <v>12431760.07</v>
      </c>
      <c r="J525" t="s">
        <v>1061</v>
      </c>
      <c r="K525" s="10">
        <v>5.4916700000000001</v>
      </c>
      <c r="Y525" s="10">
        <v>5.4646470731707311</v>
      </c>
      <c r="Z525" s="11" t="str">
        <f t="shared" si="8"/>
        <v/>
      </c>
    </row>
    <row r="526" spans="1:26" x14ac:dyDescent="0.3">
      <c r="A526" t="s">
        <v>525</v>
      </c>
      <c r="B526" t="s">
        <v>2403</v>
      </c>
      <c r="C526" t="s">
        <v>2404</v>
      </c>
      <c r="D526" t="s">
        <v>1015</v>
      </c>
      <c r="E526" t="s">
        <v>1026</v>
      </c>
      <c r="F526" t="s">
        <v>1382</v>
      </c>
      <c r="G526" t="s">
        <v>2405</v>
      </c>
      <c r="H526" s="13">
        <v>25501862.975000001</v>
      </c>
      <c r="I526" s="14">
        <v>12399369.859999999</v>
      </c>
      <c r="J526" t="s">
        <v>1052</v>
      </c>
      <c r="K526" s="10">
        <v>0.12003999999999999</v>
      </c>
      <c r="M526" s="10">
        <v>0.1054611320754717</v>
      </c>
      <c r="N526" s="10">
        <v>9.0756538461538458E-2</v>
      </c>
      <c r="O526" s="10">
        <v>8.5199807692307672E-2</v>
      </c>
      <c r="P526" s="10">
        <v>8.6336730769230818E-2</v>
      </c>
      <c r="Q526" s="10">
        <v>8.655365384615385E-2</v>
      </c>
      <c r="R526" s="10">
        <v>0.1044982692307692</v>
      </c>
      <c r="S526" s="10">
        <v>0.11267547169811321</v>
      </c>
      <c r="T526" s="10">
        <v>0.12554596153846159</v>
      </c>
      <c r="U526" s="10">
        <v>0.1249946153846154</v>
      </c>
      <c r="V526" s="10">
        <v>0.12950365384615381</v>
      </c>
      <c r="W526" s="10">
        <v>0.12836538461538469</v>
      </c>
      <c r="X526" s="10">
        <v>0.12515000000000001</v>
      </c>
      <c r="Y526" s="10">
        <v>0.1216921951219512</v>
      </c>
      <c r="Z526" s="11">
        <f t="shared" si="8"/>
        <v>0.19762748999999999</v>
      </c>
    </row>
    <row r="527" spans="1:26" x14ac:dyDescent="0.3">
      <c r="A527" t="s">
        <v>526</v>
      </c>
      <c r="B527" t="s">
        <v>2406</v>
      </c>
      <c r="C527" t="s">
        <v>2407</v>
      </c>
      <c r="D527" t="s">
        <v>1015</v>
      </c>
      <c r="E527" t="s">
        <v>1032</v>
      </c>
      <c r="F527" t="s">
        <v>1382</v>
      </c>
      <c r="G527" t="s">
        <v>2408</v>
      </c>
      <c r="H527" s="13">
        <v>15107977</v>
      </c>
      <c r="I527" s="14">
        <v>12393604.6</v>
      </c>
      <c r="J527" t="s">
        <v>1061</v>
      </c>
      <c r="K527" s="10">
        <v>0.67608000000000001</v>
      </c>
      <c r="M527" s="10">
        <v>3.8138915094339638</v>
      </c>
      <c r="N527" s="10">
        <v>3.5975753846153831</v>
      </c>
      <c r="O527" s="10">
        <v>2.8265617307692299</v>
      </c>
      <c r="P527" s="10">
        <v>1.878387692307693</v>
      </c>
      <c r="Q527" s="10">
        <v>1.2535646153846149</v>
      </c>
      <c r="R527" s="10">
        <v>0.9318361538461537</v>
      </c>
      <c r="S527" s="10">
        <v>0.82030490566037706</v>
      </c>
      <c r="T527" s="10">
        <v>0.72369442307692333</v>
      </c>
      <c r="U527" s="10">
        <v>0.54206038461538486</v>
      </c>
      <c r="V527" s="10">
        <v>0.62343230769230762</v>
      </c>
      <c r="W527" s="10">
        <v>0.68352557692307703</v>
      </c>
      <c r="X527" s="10">
        <v>0.8320286792452829</v>
      </c>
      <c r="Y527" s="10">
        <v>0.71572853658536595</v>
      </c>
      <c r="Z527" s="11">
        <f t="shared" si="8"/>
        <v>-0.10710839</v>
      </c>
    </row>
    <row r="528" spans="1:26" x14ac:dyDescent="0.3">
      <c r="A528" t="s">
        <v>527</v>
      </c>
      <c r="B528" t="s">
        <v>2409</v>
      </c>
      <c r="C528" t="s">
        <v>2410</v>
      </c>
      <c r="D528" t="s">
        <v>1014</v>
      </c>
      <c r="E528" t="s">
        <v>1018</v>
      </c>
      <c r="F528" t="s">
        <v>1055</v>
      </c>
      <c r="G528" t="s">
        <v>2411</v>
      </c>
      <c r="H528" s="13">
        <v>307445</v>
      </c>
      <c r="I528" s="14">
        <v>12389263.189999999</v>
      </c>
      <c r="J528" t="s">
        <v>1061</v>
      </c>
      <c r="K528" s="10">
        <v>39.156230000000001</v>
      </c>
      <c r="M528" s="10">
        <v>19.640008113207539</v>
      </c>
      <c r="N528" s="10">
        <v>22.72072846153846</v>
      </c>
      <c r="O528" s="10">
        <v>25.911507115384609</v>
      </c>
      <c r="P528" s="10">
        <v>28.265564038461559</v>
      </c>
      <c r="Q528" s="10">
        <v>30.853154230769221</v>
      </c>
      <c r="R528" s="10">
        <v>33.782512692307677</v>
      </c>
      <c r="S528" s="10">
        <v>35.510569433962253</v>
      </c>
      <c r="T528" s="10">
        <v>37.256255576923103</v>
      </c>
      <c r="U528" s="10">
        <v>39.045589999999969</v>
      </c>
      <c r="V528" s="10">
        <v>39.102779807692301</v>
      </c>
      <c r="W528" s="10">
        <v>39.145255576923091</v>
      </c>
      <c r="X528" s="10">
        <v>39.181296981132093</v>
      </c>
      <c r="Y528" s="10">
        <v>39.170892926829268</v>
      </c>
      <c r="Z528" s="11">
        <f t="shared" si="8"/>
        <v>0.15981002999999999</v>
      </c>
    </row>
    <row r="529" spans="1:26" x14ac:dyDescent="0.3">
      <c r="A529" t="s">
        <v>528</v>
      </c>
      <c r="B529" t="s">
        <v>2412</v>
      </c>
      <c r="C529" t="s">
        <v>2413</v>
      </c>
      <c r="D529" t="s">
        <v>1014</v>
      </c>
      <c r="E529" t="s">
        <v>1027</v>
      </c>
      <c r="F529" t="s">
        <v>1241</v>
      </c>
      <c r="G529" t="s">
        <v>2377</v>
      </c>
      <c r="H529" s="13">
        <v>649568</v>
      </c>
      <c r="I529" s="14">
        <v>12373255.699999999</v>
      </c>
      <c r="J529" t="s">
        <v>1052</v>
      </c>
      <c r="K529" s="10">
        <v>19.871200000000002</v>
      </c>
      <c r="M529" s="10">
        <v>12.173014716981131</v>
      </c>
      <c r="N529" s="10">
        <v>13.136367307692311</v>
      </c>
      <c r="O529" s="10">
        <v>13.84508769230769</v>
      </c>
      <c r="P529" s="10">
        <v>14.454079615384609</v>
      </c>
      <c r="Q529" s="10">
        <v>15.01259846153846</v>
      </c>
      <c r="R529" s="10">
        <v>14.982225</v>
      </c>
      <c r="S529" s="10">
        <v>15.543407924528299</v>
      </c>
      <c r="T529" s="10">
        <v>15.864748653846149</v>
      </c>
      <c r="U529" s="10">
        <v>16.996765192307681</v>
      </c>
      <c r="V529" s="10">
        <v>17.88869596153846</v>
      </c>
      <c r="W529" s="10">
        <v>18.838656346153851</v>
      </c>
      <c r="X529" s="10">
        <v>19.382141509433961</v>
      </c>
      <c r="Y529" s="10">
        <v>19.871676829268289</v>
      </c>
      <c r="Z529" s="11">
        <f t="shared" si="8"/>
        <v>0.29367577</v>
      </c>
    </row>
    <row r="530" spans="1:26" x14ac:dyDescent="0.3">
      <c r="A530" t="s">
        <v>529</v>
      </c>
      <c r="B530" t="s">
        <v>2414</v>
      </c>
      <c r="C530" t="s">
        <v>2415</v>
      </c>
      <c r="D530" t="s">
        <v>1015</v>
      </c>
      <c r="E530" t="s">
        <v>1027</v>
      </c>
      <c r="F530" t="s">
        <v>2161</v>
      </c>
      <c r="G530" t="s">
        <v>2162</v>
      </c>
      <c r="H530" s="13">
        <v>9523022</v>
      </c>
      <c r="I530" s="14">
        <v>12350930</v>
      </c>
      <c r="J530" t="s">
        <v>1052</v>
      </c>
      <c r="K530" s="10">
        <v>0.80506</v>
      </c>
      <c r="Q530" s="10">
        <v>7.8490005769230757</v>
      </c>
      <c r="R530" s="10">
        <v>6.608422115384613</v>
      </c>
      <c r="S530" s="10">
        <v>3.38139358490566</v>
      </c>
      <c r="T530" s="10">
        <v>1.325449423076922</v>
      </c>
      <c r="U530" s="10">
        <v>0.87500653846153886</v>
      </c>
      <c r="V530" s="10">
        <v>0.85176557692307731</v>
      </c>
      <c r="W530" s="10">
        <v>0.84043576923076913</v>
      </c>
      <c r="X530" s="10">
        <v>0.84082358490566034</v>
      </c>
      <c r="Y530" s="10">
        <v>0.80600219512195126</v>
      </c>
      <c r="Z530" s="11">
        <f t="shared" si="8"/>
        <v>-0.87276485000000004</v>
      </c>
    </row>
    <row r="531" spans="1:26" x14ac:dyDescent="0.3">
      <c r="A531" t="s">
        <v>530</v>
      </c>
      <c r="B531" t="s">
        <v>2416</v>
      </c>
      <c r="C531" t="s">
        <v>2417</v>
      </c>
      <c r="D531" t="s">
        <v>1015</v>
      </c>
      <c r="E531" t="s">
        <v>1027</v>
      </c>
      <c r="F531" t="s">
        <v>2418</v>
      </c>
      <c r="G531" t="s">
        <v>2419</v>
      </c>
      <c r="H531" s="13">
        <v>3115434.2</v>
      </c>
      <c r="I531" s="14">
        <v>12311481.99</v>
      </c>
      <c r="J531" t="s">
        <v>1061</v>
      </c>
      <c r="K531" s="10">
        <v>3.7643599999999999</v>
      </c>
      <c r="W531" s="10">
        <v>4.4411959459459469</v>
      </c>
      <c r="X531" s="10">
        <v>4.046723207547168</v>
      </c>
      <c r="Y531" s="10">
        <v>3.82428780487805</v>
      </c>
      <c r="Z531" s="11" t="str">
        <f t="shared" si="8"/>
        <v/>
      </c>
    </row>
    <row r="532" spans="1:26" x14ac:dyDescent="0.3">
      <c r="A532" t="s">
        <v>531</v>
      </c>
      <c r="B532" t="s">
        <v>2420</v>
      </c>
      <c r="C532" t="s">
        <v>2421</v>
      </c>
      <c r="D532" t="s">
        <v>1014</v>
      </c>
      <c r="E532" t="s">
        <v>1019</v>
      </c>
      <c r="F532" t="s">
        <v>1081</v>
      </c>
      <c r="G532" t="s">
        <v>1873</v>
      </c>
      <c r="H532" s="13">
        <v>597831</v>
      </c>
      <c r="I532" s="14">
        <v>12257444.93</v>
      </c>
      <c r="J532" t="s">
        <v>1052</v>
      </c>
      <c r="K532" s="10">
        <v>11.192869999999999</v>
      </c>
      <c r="Q532" s="10">
        <v>14.98333538461539</v>
      </c>
      <c r="R532" s="10">
        <v>15.75260865384617</v>
      </c>
      <c r="S532" s="10">
        <v>16.685256415094329</v>
      </c>
      <c r="T532" s="10">
        <v>17.522490000000008</v>
      </c>
      <c r="U532" s="10">
        <v>18.21049115384616</v>
      </c>
      <c r="V532" s="10">
        <v>18.960769807692291</v>
      </c>
      <c r="W532" s="10">
        <v>19.531003076923081</v>
      </c>
      <c r="X532" s="10">
        <v>20.126880188679241</v>
      </c>
      <c r="Y532" s="10">
        <v>11.19795365853658</v>
      </c>
      <c r="Z532" s="11">
        <f t="shared" si="8"/>
        <v>0.27768553000000001</v>
      </c>
    </row>
    <row r="533" spans="1:26" x14ac:dyDescent="0.3">
      <c r="A533" t="s">
        <v>532</v>
      </c>
      <c r="B533" t="s">
        <v>2422</v>
      </c>
      <c r="C533" t="s">
        <v>2423</v>
      </c>
      <c r="D533" t="s">
        <v>1014</v>
      </c>
      <c r="E533" t="s">
        <v>1027</v>
      </c>
      <c r="F533" t="s">
        <v>1270</v>
      </c>
      <c r="G533" t="s">
        <v>1271</v>
      </c>
      <c r="H533" s="13">
        <v>977374</v>
      </c>
      <c r="I533" s="14">
        <v>12207167.82</v>
      </c>
      <c r="J533" t="s">
        <v>1052</v>
      </c>
      <c r="K533" s="10">
        <v>12.350390000000001</v>
      </c>
      <c r="P533" s="10">
        <v>8.6276200000000038</v>
      </c>
      <c r="Q533" s="10">
        <v>9.4020453846153877</v>
      </c>
      <c r="R533" s="10">
        <v>9.663995769230775</v>
      </c>
      <c r="S533" s="10">
        <v>10.14712018867924</v>
      </c>
      <c r="T533" s="10">
        <v>10.68716807692307</v>
      </c>
      <c r="U533" s="10">
        <v>11.220255576923091</v>
      </c>
      <c r="V533" s="10">
        <v>11.778436730769229</v>
      </c>
      <c r="W533" s="10">
        <v>12.390447884615391</v>
      </c>
      <c r="X533" s="10">
        <v>12.36721452830189</v>
      </c>
      <c r="Y533" s="10">
        <v>12.343917073170729</v>
      </c>
      <c r="Z533" s="11">
        <f t="shared" si="8"/>
        <v>0.27972060999999998</v>
      </c>
    </row>
    <row r="534" spans="1:26" x14ac:dyDescent="0.3">
      <c r="A534" t="s">
        <v>533</v>
      </c>
      <c r="B534" t="s">
        <v>2424</v>
      </c>
      <c r="C534" t="s">
        <v>2425</v>
      </c>
      <c r="D534" t="s">
        <v>1015</v>
      </c>
      <c r="E534" t="s">
        <v>1027</v>
      </c>
      <c r="F534" t="s">
        <v>2161</v>
      </c>
      <c r="G534" t="s">
        <v>2162</v>
      </c>
      <c r="H534" s="13">
        <v>10550097.056</v>
      </c>
      <c r="I534" s="14">
        <v>12114296.68</v>
      </c>
      <c r="J534" t="s">
        <v>1052</v>
      </c>
      <c r="K534" s="10">
        <v>0.67661000000000004</v>
      </c>
      <c r="Q534" s="10">
        <v>7.1547774999999998</v>
      </c>
      <c r="R534" s="10">
        <v>4.8594930769230782</v>
      </c>
      <c r="S534" s="10">
        <v>2.431296415094339</v>
      </c>
      <c r="T534" s="10">
        <v>1.105211538461538</v>
      </c>
      <c r="U534" s="10">
        <v>0.7754780769230768</v>
      </c>
      <c r="V534" s="10">
        <v>0.94248019230769209</v>
      </c>
      <c r="W534" s="10">
        <v>0.74494326923076926</v>
      </c>
      <c r="X534" s="10">
        <v>0.69324037735849042</v>
      </c>
      <c r="Y534" s="10">
        <v>0.63880926829268303</v>
      </c>
      <c r="Z534" s="11">
        <f t="shared" si="8"/>
        <v>-0.85734306999999998</v>
      </c>
    </row>
    <row r="535" spans="1:26" x14ac:dyDescent="0.3">
      <c r="A535" t="s">
        <v>534</v>
      </c>
      <c r="B535" t="s">
        <v>2426</v>
      </c>
      <c r="C535" t="s">
        <v>2427</v>
      </c>
      <c r="D535" t="s">
        <v>1014</v>
      </c>
      <c r="E535" t="s">
        <v>1033</v>
      </c>
      <c r="F535" t="s">
        <v>2428</v>
      </c>
      <c r="G535" t="s">
        <v>2429</v>
      </c>
      <c r="H535" s="13">
        <v>958674.27099999995</v>
      </c>
      <c r="I535" s="14">
        <v>12102300.689999999</v>
      </c>
      <c r="J535" t="s">
        <v>1061</v>
      </c>
      <c r="K535" s="10">
        <v>13.593109999999999</v>
      </c>
      <c r="W535" s="10">
        <v>11.9671275</v>
      </c>
      <c r="X535" s="10">
        <v>12.37519413043478</v>
      </c>
      <c r="Y535" s="10">
        <v>13.02814047619048</v>
      </c>
      <c r="Z535" s="11" t="str">
        <f t="shared" si="8"/>
        <v/>
      </c>
    </row>
    <row r="536" spans="1:26" x14ac:dyDescent="0.3">
      <c r="A536" t="s">
        <v>535</v>
      </c>
      <c r="B536" t="s">
        <v>2430</v>
      </c>
      <c r="C536" t="s">
        <v>2038</v>
      </c>
      <c r="D536" t="s">
        <v>1015</v>
      </c>
      <c r="E536" t="s">
        <v>1022</v>
      </c>
      <c r="F536" t="s">
        <v>2108</v>
      </c>
      <c r="G536" t="s">
        <v>2040</v>
      </c>
      <c r="H536" s="13">
        <v>20599530.774</v>
      </c>
      <c r="I536" s="14">
        <v>12085584.970000001</v>
      </c>
      <c r="J536" t="s">
        <v>1052</v>
      </c>
      <c r="K536" s="10">
        <v>0.11992</v>
      </c>
      <c r="M536" s="10">
        <v>0.63491207547169815</v>
      </c>
      <c r="N536" s="10">
        <v>0.56180365384615372</v>
      </c>
      <c r="O536" s="10">
        <v>0.40864173076923083</v>
      </c>
      <c r="P536" s="10">
        <v>0.33845442307692308</v>
      </c>
      <c r="Q536" s="10">
        <v>0.29632461538461541</v>
      </c>
      <c r="R536" s="10">
        <v>0.25899096153846152</v>
      </c>
      <c r="S536" s="10">
        <v>0.25855075471698119</v>
      </c>
      <c r="T536" s="10">
        <v>0.23269750000000011</v>
      </c>
      <c r="U536" s="10">
        <v>0.2245242307692307</v>
      </c>
      <c r="V536" s="10">
        <v>0.18892596153846161</v>
      </c>
      <c r="W536" s="10">
        <v>0.17546673076923081</v>
      </c>
      <c r="X536" s="10">
        <v>0.16603264150943389</v>
      </c>
      <c r="Y536" s="10">
        <v>0.13684512195121951</v>
      </c>
      <c r="Z536" s="11">
        <f t="shared" si="8"/>
        <v>-0.35892496000000002</v>
      </c>
    </row>
    <row r="537" spans="1:26" x14ac:dyDescent="0.3">
      <c r="A537" t="s">
        <v>536</v>
      </c>
      <c r="B537" t="s">
        <v>2431</v>
      </c>
      <c r="C537" t="s">
        <v>2432</v>
      </c>
      <c r="D537" t="s">
        <v>1015</v>
      </c>
      <c r="E537" t="s">
        <v>1026</v>
      </c>
      <c r="F537" t="s">
        <v>2433</v>
      </c>
      <c r="G537" t="s">
        <v>2434</v>
      </c>
      <c r="H537" s="13">
        <v>1829830</v>
      </c>
      <c r="I537" s="14">
        <v>12030191.59</v>
      </c>
      <c r="J537" t="s">
        <v>1061</v>
      </c>
      <c r="K537" s="10">
        <v>3.4014899999999999</v>
      </c>
      <c r="U537" s="10">
        <v>9.4144628571428566</v>
      </c>
      <c r="V537" s="10">
        <v>8.1227912499999935</v>
      </c>
      <c r="W537" s="10">
        <v>5.1845700000000026</v>
      </c>
      <c r="X537" s="10">
        <v>6.6043381132075476</v>
      </c>
      <c r="Y537" s="10">
        <v>3.9913009756097568</v>
      </c>
      <c r="Z537" s="11" t="str">
        <f t="shared" si="8"/>
        <v/>
      </c>
    </row>
    <row r="538" spans="1:26" x14ac:dyDescent="0.3">
      <c r="A538" t="s">
        <v>537</v>
      </c>
      <c r="B538" t="s">
        <v>2435</v>
      </c>
      <c r="C538" t="s">
        <v>2436</v>
      </c>
      <c r="D538" t="s">
        <v>1014</v>
      </c>
      <c r="E538" t="s">
        <v>1022</v>
      </c>
      <c r="F538" t="s">
        <v>1529</v>
      </c>
      <c r="G538" t="s">
        <v>2437</v>
      </c>
      <c r="H538" s="13">
        <v>2692793</v>
      </c>
      <c r="I538" s="14">
        <v>11925851.83</v>
      </c>
      <c r="J538" t="s">
        <v>1052</v>
      </c>
      <c r="K538" s="10">
        <v>4.5225499999999998</v>
      </c>
      <c r="M538" s="10">
        <v>2.659440952380951</v>
      </c>
      <c r="N538" s="10">
        <v>3.0217974999999999</v>
      </c>
      <c r="O538" s="10">
        <v>3.2221578846153851</v>
      </c>
      <c r="P538" s="10">
        <v>3.621022692307692</v>
      </c>
      <c r="Q538" s="10">
        <v>3.9526057692307721</v>
      </c>
      <c r="R538" s="10">
        <v>3.9453199999999971</v>
      </c>
      <c r="S538" s="10">
        <v>3.927344150943394</v>
      </c>
      <c r="T538" s="10">
        <v>3.936386538461536</v>
      </c>
      <c r="U538" s="10">
        <v>4.0192700000000041</v>
      </c>
      <c r="V538" s="10">
        <v>4.1192084615384603</v>
      </c>
      <c r="W538" s="10">
        <v>4.2609555769230791</v>
      </c>
      <c r="X538" s="10">
        <v>4.4029799999999977</v>
      </c>
      <c r="Y538" s="10">
        <v>4.5228697560975588</v>
      </c>
      <c r="Z538" s="11">
        <f t="shared" si="8"/>
        <v>0.11600073</v>
      </c>
    </row>
    <row r="539" spans="1:26" x14ac:dyDescent="0.3">
      <c r="A539" t="s">
        <v>538</v>
      </c>
      <c r="B539" t="s">
        <v>2438</v>
      </c>
      <c r="C539" t="s">
        <v>2439</v>
      </c>
      <c r="D539" t="s">
        <v>1015</v>
      </c>
      <c r="E539" t="s">
        <v>1027</v>
      </c>
      <c r="F539" t="s">
        <v>2161</v>
      </c>
      <c r="G539" t="s">
        <v>2162</v>
      </c>
      <c r="H539" s="13">
        <v>10093876.308</v>
      </c>
      <c r="I539" s="14">
        <v>11890678.199999999</v>
      </c>
      <c r="J539" t="s">
        <v>1052</v>
      </c>
      <c r="K539" s="10">
        <v>0.57609999999999995</v>
      </c>
      <c r="Q539" s="10">
        <v>6.8889023076923088</v>
      </c>
      <c r="R539" s="10">
        <v>5.4030021153846182</v>
      </c>
      <c r="S539" s="10">
        <v>2.7861745283018862</v>
      </c>
      <c r="T539" s="10">
        <v>0.99620442307692325</v>
      </c>
      <c r="U539" s="10">
        <v>0.65639846153846193</v>
      </c>
      <c r="V539" s="10">
        <v>0.74701057692307704</v>
      </c>
      <c r="W539" s="10">
        <v>0.70236596153846109</v>
      </c>
      <c r="X539" s="10">
        <v>0.68669150943396229</v>
      </c>
      <c r="Y539" s="10">
        <v>0.60965292682926853</v>
      </c>
      <c r="Z539" s="11">
        <f t="shared" si="8"/>
        <v>-0.87290555999999997</v>
      </c>
    </row>
    <row r="540" spans="1:26" x14ac:dyDescent="0.3">
      <c r="A540" t="s">
        <v>539</v>
      </c>
      <c r="B540" t="s">
        <v>2440</v>
      </c>
      <c r="C540" t="s">
        <v>2441</v>
      </c>
      <c r="D540" t="s">
        <v>1014</v>
      </c>
      <c r="E540" t="s">
        <v>1027</v>
      </c>
      <c r="F540" t="s">
        <v>2442</v>
      </c>
      <c r="G540" t="s">
        <v>2443</v>
      </c>
      <c r="H540" s="13">
        <v>70699</v>
      </c>
      <c r="I540" s="14">
        <v>11885196.77</v>
      </c>
      <c r="J540" t="s">
        <v>1052</v>
      </c>
      <c r="K540" s="10">
        <v>170.49600000000001</v>
      </c>
      <c r="Y540" s="10">
        <v>170.49600000000009</v>
      </c>
      <c r="Z540" s="11" t="str">
        <f t="shared" si="8"/>
        <v/>
      </c>
    </row>
    <row r="541" spans="1:26" x14ac:dyDescent="0.3">
      <c r="A541" t="s">
        <v>540</v>
      </c>
      <c r="B541" t="s">
        <v>2444</v>
      </c>
      <c r="C541" t="s">
        <v>2445</v>
      </c>
      <c r="D541" t="s">
        <v>1014</v>
      </c>
      <c r="E541" t="s">
        <v>1033</v>
      </c>
      <c r="F541" t="s">
        <v>1068</v>
      </c>
      <c r="G541" t="s">
        <v>2446</v>
      </c>
      <c r="H541" s="13">
        <v>1025760</v>
      </c>
      <c r="I541" s="14">
        <v>11817998.82</v>
      </c>
      <c r="J541" t="s">
        <v>1052</v>
      </c>
      <c r="K541" s="10">
        <v>12.096439999999999</v>
      </c>
      <c r="M541" s="10">
        <v>5.974066603773589</v>
      </c>
      <c r="N541" s="10">
        <v>6.5783209615384619</v>
      </c>
      <c r="O541" s="10">
        <v>7.160088461538459</v>
      </c>
      <c r="P541" s="10">
        <v>7.9147067307692334</v>
      </c>
      <c r="Q541" s="10">
        <v>8.5212173076923126</v>
      </c>
      <c r="R541" s="10">
        <v>8.8402923076923106</v>
      </c>
      <c r="S541" s="10">
        <v>9.0135016981132097</v>
      </c>
      <c r="T541" s="10">
        <v>9.1828753846153823</v>
      </c>
      <c r="U541" s="10">
        <v>9.7406334615384669</v>
      </c>
      <c r="V541" s="10">
        <v>10.446579807692309</v>
      </c>
      <c r="W541" s="10">
        <v>10.81905192307693</v>
      </c>
      <c r="X541" s="10">
        <v>11.465637547169811</v>
      </c>
      <c r="Y541" s="10">
        <v>12.04143585365853</v>
      </c>
      <c r="Z541" s="11">
        <f t="shared" si="8"/>
        <v>0.29697494000000002</v>
      </c>
    </row>
    <row r="542" spans="1:26" x14ac:dyDescent="0.3">
      <c r="A542" t="s">
        <v>541</v>
      </c>
      <c r="B542" t="s">
        <v>2447</v>
      </c>
      <c r="C542" t="s">
        <v>2448</v>
      </c>
      <c r="D542" t="s">
        <v>1015</v>
      </c>
      <c r="E542" t="s">
        <v>1025</v>
      </c>
      <c r="F542" t="s">
        <v>2079</v>
      </c>
      <c r="G542" t="s">
        <v>2449</v>
      </c>
      <c r="H542" s="13">
        <v>26628444.5</v>
      </c>
      <c r="I542" s="14">
        <v>11777071.77</v>
      </c>
      <c r="J542" t="s">
        <v>1052</v>
      </c>
      <c r="K542" s="10">
        <v>0.13607</v>
      </c>
      <c r="T542" s="10">
        <v>0.1934864705882354</v>
      </c>
      <c r="U542" s="10">
        <v>0.1672473076923077</v>
      </c>
      <c r="V542" s="10">
        <v>0.1486309615384615</v>
      </c>
      <c r="W542" s="10">
        <v>0.12825076923076931</v>
      </c>
      <c r="X542" s="10">
        <v>0.13160094339622641</v>
      </c>
      <c r="Y542" s="10">
        <v>0.1179773170731708</v>
      </c>
      <c r="Z542" s="11" t="str">
        <f t="shared" si="8"/>
        <v/>
      </c>
    </row>
    <row r="543" spans="1:26" x14ac:dyDescent="0.3">
      <c r="A543" t="s">
        <v>542</v>
      </c>
      <c r="B543" t="s">
        <v>2450</v>
      </c>
      <c r="C543" t="s">
        <v>1752</v>
      </c>
      <c r="D543" t="s">
        <v>1015</v>
      </c>
      <c r="E543" t="s">
        <v>1030</v>
      </c>
      <c r="F543" t="s">
        <v>2451</v>
      </c>
      <c r="G543" t="s">
        <v>1619</v>
      </c>
      <c r="H543" s="13">
        <v>10331718.25</v>
      </c>
      <c r="I543" s="14">
        <v>11764801.609999999</v>
      </c>
      <c r="J543" t="s">
        <v>1052</v>
      </c>
      <c r="K543" s="10">
        <v>0.66281999999999996</v>
      </c>
      <c r="Q543" s="10">
        <v>2.3849192682926832</v>
      </c>
      <c r="R543" s="10">
        <v>1.7868136538461541</v>
      </c>
      <c r="S543" s="10">
        <v>1.4143775471698119</v>
      </c>
      <c r="T543" s="10">
        <v>1.1059600000000001</v>
      </c>
      <c r="U543" s="10">
        <v>1.0268371153846161</v>
      </c>
      <c r="V543" s="10">
        <v>0.99031288461538469</v>
      </c>
      <c r="W543" s="10">
        <v>0.87680134615384575</v>
      </c>
      <c r="X543" s="10">
        <v>0.72262188679245276</v>
      </c>
      <c r="Y543" s="10">
        <v>0.66755682926829296</v>
      </c>
      <c r="Z543" s="11">
        <f t="shared" si="8"/>
        <v>-0.59558071999999995</v>
      </c>
    </row>
    <row r="544" spans="1:26" x14ac:dyDescent="0.3">
      <c r="A544" t="s">
        <v>543</v>
      </c>
      <c r="B544" t="s">
        <v>2452</v>
      </c>
      <c r="C544" t="s">
        <v>2453</v>
      </c>
      <c r="D544" t="s">
        <v>1015</v>
      </c>
      <c r="E544" t="s">
        <v>1029</v>
      </c>
      <c r="F544" t="s">
        <v>1114</v>
      </c>
      <c r="G544" t="s">
        <v>2454</v>
      </c>
      <c r="H544" s="13">
        <v>2249452.858</v>
      </c>
      <c r="I544" s="14">
        <v>11764064.83</v>
      </c>
      <c r="J544" t="s">
        <v>1061</v>
      </c>
      <c r="K544" s="10">
        <v>0.31501000000000001</v>
      </c>
      <c r="M544" s="10">
        <v>8.0788113207547196E-2</v>
      </c>
      <c r="N544" s="10">
        <v>8.570230769230773E-2</v>
      </c>
      <c r="O544" s="10">
        <v>8.4039230769230783E-2</v>
      </c>
      <c r="P544" s="10">
        <v>8.4010384615384556E-2</v>
      </c>
      <c r="Q544" s="10">
        <v>8.3800000000000055E-2</v>
      </c>
      <c r="U544" s="10">
        <v>8.3786363636363617E-2</v>
      </c>
      <c r="V544" s="10">
        <v>8.2269999999999996E-2</v>
      </c>
      <c r="W544" s="10">
        <v>8.6552702702702669E-2</v>
      </c>
      <c r="X544" s="10">
        <v>0.1127611320754717</v>
      </c>
      <c r="Y544" s="10">
        <v>0.30673268292682931</v>
      </c>
      <c r="Z544" s="11" t="str">
        <f t="shared" si="8"/>
        <v/>
      </c>
    </row>
    <row r="545" spans="1:26" x14ac:dyDescent="0.3">
      <c r="A545" t="s">
        <v>544</v>
      </c>
      <c r="B545" t="s">
        <v>2455</v>
      </c>
      <c r="C545" t="s">
        <v>2456</v>
      </c>
      <c r="D545" t="s">
        <v>1014</v>
      </c>
      <c r="E545" t="s">
        <v>1027</v>
      </c>
      <c r="F545" t="s">
        <v>1399</v>
      </c>
      <c r="G545" t="s">
        <v>2457</v>
      </c>
      <c r="H545" s="13">
        <v>283223</v>
      </c>
      <c r="I545" s="14">
        <v>11746560.060000001</v>
      </c>
      <c r="J545" t="s">
        <v>1052</v>
      </c>
      <c r="K545" s="10">
        <v>47.143099999999997</v>
      </c>
      <c r="Q545" s="10">
        <v>29.896616153846129</v>
      </c>
      <c r="R545" s="10">
        <v>32.332434807692287</v>
      </c>
      <c r="S545" s="10">
        <v>34.847508679245287</v>
      </c>
      <c r="T545" s="10">
        <v>36.927094615384632</v>
      </c>
      <c r="U545" s="10">
        <v>39.22148999999996</v>
      </c>
      <c r="V545" s="10">
        <v>41.527470384615341</v>
      </c>
      <c r="W545" s="10">
        <v>41.57189153846155</v>
      </c>
      <c r="X545" s="10">
        <v>42.011535283018858</v>
      </c>
      <c r="Y545" s="10">
        <v>44.988833902439033</v>
      </c>
      <c r="Z545" s="11">
        <f t="shared" si="8"/>
        <v>0.29936193999999999</v>
      </c>
    </row>
    <row r="546" spans="1:26" x14ac:dyDescent="0.3">
      <c r="A546" t="s">
        <v>545</v>
      </c>
      <c r="B546" t="s">
        <v>2458</v>
      </c>
      <c r="C546" t="s">
        <v>1653</v>
      </c>
      <c r="D546" t="s">
        <v>1014</v>
      </c>
      <c r="E546" t="s">
        <v>1025</v>
      </c>
      <c r="F546" t="s">
        <v>1114</v>
      </c>
      <c r="G546" t="s">
        <v>1654</v>
      </c>
      <c r="H546" s="13">
        <v>1096880</v>
      </c>
      <c r="I546" s="14">
        <v>11716792.6</v>
      </c>
      <c r="J546" t="s">
        <v>1163</v>
      </c>
      <c r="K546" s="10">
        <v>10.7089</v>
      </c>
      <c r="S546" s="10">
        <v>9.0233783018867957</v>
      </c>
      <c r="T546" s="10">
        <v>9.1058673076923053</v>
      </c>
      <c r="U546" s="10">
        <v>9.3485984615384616</v>
      </c>
      <c r="V546" s="10">
        <v>9.8286561538461648</v>
      </c>
      <c r="W546" s="10">
        <v>10.304865576923079</v>
      </c>
      <c r="X546" s="10">
        <v>10.69418188679245</v>
      </c>
      <c r="Y546" s="10">
        <v>10.68557268292683</v>
      </c>
      <c r="Z546" s="11" t="str">
        <f t="shared" si="8"/>
        <v/>
      </c>
    </row>
    <row r="547" spans="1:26" x14ac:dyDescent="0.3">
      <c r="A547" t="s">
        <v>546</v>
      </c>
      <c r="B547" t="s">
        <v>2459</v>
      </c>
      <c r="C547" t="s">
        <v>2460</v>
      </c>
      <c r="D547" t="s">
        <v>1014</v>
      </c>
      <c r="E547" t="s">
        <v>1033</v>
      </c>
      <c r="F547" t="s">
        <v>1106</v>
      </c>
      <c r="G547" t="s">
        <v>1840</v>
      </c>
      <c r="H547" s="13">
        <v>421392</v>
      </c>
      <c r="I547" s="14">
        <v>11693947.359999999</v>
      </c>
      <c r="J547" t="s">
        <v>1052</v>
      </c>
      <c r="K547" s="10">
        <v>28.36158</v>
      </c>
      <c r="S547" s="10">
        <v>21.538432608695651</v>
      </c>
      <c r="T547" s="10">
        <v>22.70763942307692</v>
      </c>
      <c r="U547" s="10">
        <v>23.27847461538461</v>
      </c>
      <c r="V547" s="10">
        <v>24.678318653846151</v>
      </c>
      <c r="W547" s="10">
        <v>26.215242884615389</v>
      </c>
      <c r="X547" s="10">
        <v>27.511718867924522</v>
      </c>
      <c r="Y547" s="10">
        <v>28.344855365853661</v>
      </c>
      <c r="Z547" s="11" t="str">
        <f t="shared" si="8"/>
        <v/>
      </c>
    </row>
    <row r="548" spans="1:26" x14ac:dyDescent="0.3">
      <c r="A548" t="s">
        <v>547</v>
      </c>
      <c r="B548" t="s">
        <v>2461</v>
      </c>
      <c r="C548" t="s">
        <v>2462</v>
      </c>
      <c r="D548" t="s">
        <v>1015</v>
      </c>
      <c r="E548" t="s">
        <v>1027</v>
      </c>
      <c r="F548" t="s">
        <v>2288</v>
      </c>
      <c r="G548" t="s">
        <v>2463</v>
      </c>
      <c r="H548" s="13">
        <v>39292398.133000001</v>
      </c>
      <c r="I548" s="14">
        <v>11689654.17</v>
      </c>
      <c r="J548" t="s">
        <v>1052</v>
      </c>
      <c r="K548" s="10">
        <v>0.13492999999999999</v>
      </c>
      <c r="Q548" s="10">
        <v>0.20146230769230769</v>
      </c>
      <c r="R548" s="10">
        <v>0.16968865384615389</v>
      </c>
      <c r="S548" s="10">
        <v>0.1626115094339623</v>
      </c>
      <c r="T548" s="10">
        <v>0.13776076923076919</v>
      </c>
      <c r="U548" s="10">
        <v>0.1195561538461539</v>
      </c>
      <c r="V548" s="10">
        <v>0.1123650000000001</v>
      </c>
      <c r="W548" s="10">
        <v>0.1039017307692308</v>
      </c>
      <c r="X548" s="10">
        <v>9.9885660377358493E-2</v>
      </c>
      <c r="Y548" s="10">
        <v>0.1199741463414634</v>
      </c>
      <c r="Z548" s="11">
        <f t="shared" si="8"/>
        <v>-0.41135923000000002</v>
      </c>
    </row>
    <row r="549" spans="1:26" x14ac:dyDescent="0.3">
      <c r="A549" t="s">
        <v>548</v>
      </c>
      <c r="B549" t="s">
        <v>2464</v>
      </c>
      <c r="C549" t="s">
        <v>2465</v>
      </c>
      <c r="D549" t="s">
        <v>1015</v>
      </c>
      <c r="E549" t="s">
        <v>1022</v>
      </c>
      <c r="F549" t="s">
        <v>1618</v>
      </c>
      <c r="G549" t="s">
        <v>2283</v>
      </c>
      <c r="H549" s="13">
        <v>60514023.637999997</v>
      </c>
      <c r="I549" s="14">
        <v>11683954.699999999</v>
      </c>
      <c r="J549" t="s">
        <v>1052</v>
      </c>
      <c r="K549" s="10">
        <v>2.945E-2</v>
      </c>
      <c r="X549" s="10">
        <v>3.1964528301886792E-2</v>
      </c>
      <c r="Y549" s="10">
        <v>2.8661707317073161E-2</v>
      </c>
      <c r="Z549" s="11" t="str">
        <f t="shared" si="8"/>
        <v/>
      </c>
    </row>
    <row r="550" spans="1:26" x14ac:dyDescent="0.3">
      <c r="A550" t="s">
        <v>549</v>
      </c>
      <c r="B550" t="s">
        <v>2466</v>
      </c>
      <c r="C550" t="s">
        <v>2467</v>
      </c>
      <c r="D550" t="s">
        <v>1014</v>
      </c>
      <c r="E550" t="s">
        <v>1019</v>
      </c>
      <c r="F550" t="s">
        <v>1106</v>
      </c>
      <c r="G550" t="s">
        <v>2468</v>
      </c>
      <c r="H550" s="13">
        <v>608241</v>
      </c>
      <c r="I550" s="14">
        <v>11610021.91</v>
      </c>
      <c r="J550" t="s">
        <v>1052</v>
      </c>
      <c r="K550" s="10">
        <v>19.204429999999999</v>
      </c>
      <c r="N550" s="10">
        <v>11.34324081081081</v>
      </c>
      <c r="O550" s="10">
        <v>12.399344615384621</v>
      </c>
      <c r="P550" s="10">
        <v>13.72671230769231</v>
      </c>
      <c r="Q550" s="10">
        <v>14.855852307692309</v>
      </c>
      <c r="R550" s="10">
        <v>15.749684999999999</v>
      </c>
      <c r="S550" s="10">
        <v>16.34825735849056</v>
      </c>
      <c r="T550" s="10">
        <v>17.028662115384609</v>
      </c>
      <c r="U550" s="10">
        <v>17.55803673076921</v>
      </c>
      <c r="V550" s="10">
        <v>18.0817776923077</v>
      </c>
      <c r="W550" s="10">
        <v>18.59882846153846</v>
      </c>
      <c r="X550" s="10">
        <v>19.162781886792452</v>
      </c>
      <c r="Y550" s="10">
        <v>19.195738780487812</v>
      </c>
      <c r="Z550" s="11">
        <f t="shared" si="8"/>
        <v>0.21670890000000001</v>
      </c>
    </row>
    <row r="551" spans="1:26" x14ac:dyDescent="0.3">
      <c r="A551" t="s">
        <v>550</v>
      </c>
      <c r="B551" t="s">
        <v>2469</v>
      </c>
      <c r="C551" t="s">
        <v>2470</v>
      </c>
      <c r="D551" t="s">
        <v>1015</v>
      </c>
      <c r="E551" t="s">
        <v>1025</v>
      </c>
      <c r="F551" t="s">
        <v>2471</v>
      </c>
      <c r="G551" t="s">
        <v>2472</v>
      </c>
      <c r="H551" s="13">
        <v>287570.19099999999</v>
      </c>
      <c r="I551" s="14">
        <v>11564886.84</v>
      </c>
      <c r="J551" t="s">
        <v>1061</v>
      </c>
      <c r="K551" s="10">
        <v>0.67351000000000005</v>
      </c>
      <c r="M551" s="10">
        <v>1.544005849056604</v>
      </c>
      <c r="N551" s="10">
        <v>1.938295192307693</v>
      </c>
      <c r="O551" s="10">
        <v>1.89738173076923</v>
      </c>
      <c r="P551" s="10">
        <v>0.82384846153846136</v>
      </c>
      <c r="Q551" s="10">
        <v>1.148335576923077</v>
      </c>
      <c r="R551" s="10">
        <v>0.73112153846153882</v>
      </c>
      <c r="S551" s="10">
        <v>0.87494924528301854</v>
      </c>
      <c r="T551" s="10">
        <v>1.38785</v>
      </c>
      <c r="W551" s="10">
        <v>0.71862918918918928</v>
      </c>
      <c r="X551" s="10">
        <v>0.79554584905660342</v>
      </c>
      <c r="Y551" s="10">
        <v>0.71700317073170705</v>
      </c>
      <c r="Z551" s="11">
        <f t="shared" si="8"/>
        <v>8.8117100000000004E-2</v>
      </c>
    </row>
    <row r="552" spans="1:26" x14ac:dyDescent="0.3">
      <c r="A552" t="s">
        <v>551</v>
      </c>
      <c r="B552" t="s">
        <v>2473</v>
      </c>
      <c r="C552" t="s">
        <v>2474</v>
      </c>
      <c r="D552" t="s">
        <v>1014</v>
      </c>
      <c r="E552" t="s">
        <v>1022</v>
      </c>
      <c r="F552" t="s">
        <v>1270</v>
      </c>
      <c r="G552" t="s">
        <v>2475</v>
      </c>
      <c r="H552" s="13">
        <v>1163403</v>
      </c>
      <c r="I552" s="14">
        <v>11562516.960000001</v>
      </c>
      <c r="J552" t="s">
        <v>1052</v>
      </c>
      <c r="K552" s="10">
        <v>9.8394200000000005</v>
      </c>
      <c r="M552" s="10">
        <v>5.8640892452830169</v>
      </c>
      <c r="N552" s="10">
        <v>6.8894699999999967</v>
      </c>
      <c r="O552" s="10">
        <v>7.6404471153846156</v>
      </c>
      <c r="P552" s="10">
        <v>8.1657419230769239</v>
      </c>
      <c r="Q552" s="10">
        <v>8.7681401923076887</v>
      </c>
      <c r="R552" s="10">
        <v>9.028960000000005</v>
      </c>
      <c r="S552" s="10">
        <v>9.2912122641509427</v>
      </c>
      <c r="T552" s="10">
        <v>9.8598784615384627</v>
      </c>
      <c r="U552" s="10">
        <v>9.8583176923076881</v>
      </c>
      <c r="V552" s="10">
        <v>9.8555984615384613</v>
      </c>
      <c r="W552" s="10">
        <v>9.8592928846153836</v>
      </c>
      <c r="X552" s="10">
        <v>9.8558169811320795</v>
      </c>
      <c r="Y552" s="10">
        <v>9.8420160975609789</v>
      </c>
      <c r="Z552" s="11">
        <f t="shared" si="8"/>
        <v>9.1578320000000005E-2</v>
      </c>
    </row>
    <row r="553" spans="1:26" x14ac:dyDescent="0.3">
      <c r="A553" t="s">
        <v>552</v>
      </c>
      <c r="B553" t="s">
        <v>2476</v>
      </c>
      <c r="C553" t="s">
        <v>2477</v>
      </c>
      <c r="D553" t="s">
        <v>1014</v>
      </c>
      <c r="E553" t="s">
        <v>1027</v>
      </c>
      <c r="F553" t="s">
        <v>1270</v>
      </c>
      <c r="G553" t="s">
        <v>1799</v>
      </c>
      <c r="H553" s="13">
        <v>1677321</v>
      </c>
      <c r="I553" s="14">
        <v>11532453.300000001</v>
      </c>
      <c r="J553" t="s">
        <v>1052</v>
      </c>
      <c r="K553" s="10">
        <v>6.8058800000000002</v>
      </c>
      <c r="M553" s="10">
        <v>6.9339001886792451</v>
      </c>
      <c r="N553" s="10">
        <v>6.9049230769230752</v>
      </c>
      <c r="O553" s="10">
        <v>6.9139936538461493</v>
      </c>
      <c r="P553" s="10">
        <v>6.8635601923076957</v>
      </c>
      <c r="Q553" s="10">
        <v>6.8412215384615376</v>
      </c>
      <c r="R553" s="10">
        <v>6.8385119230769256</v>
      </c>
      <c r="S553" s="10">
        <v>6.8371599999999981</v>
      </c>
      <c r="T553" s="10">
        <v>6.8318136538461562</v>
      </c>
      <c r="U553" s="10">
        <v>6.8177884615384636</v>
      </c>
      <c r="V553" s="10">
        <v>6.830479230769229</v>
      </c>
      <c r="W553" s="10">
        <v>6.8373288461538442</v>
      </c>
      <c r="X553" s="10">
        <v>6.8250515094339654</v>
      </c>
      <c r="Y553" s="10">
        <v>6.8118763414634129</v>
      </c>
      <c r="Z553" s="11">
        <f t="shared" si="8"/>
        <v>-1.96832E-3</v>
      </c>
    </row>
    <row r="554" spans="1:26" x14ac:dyDescent="0.3">
      <c r="A554" t="s">
        <v>553</v>
      </c>
      <c r="B554" t="s">
        <v>2478</v>
      </c>
      <c r="C554" t="s">
        <v>2479</v>
      </c>
      <c r="D554" t="s">
        <v>1014</v>
      </c>
      <c r="E554" t="s">
        <v>1019</v>
      </c>
      <c r="F554" t="s">
        <v>1106</v>
      </c>
      <c r="G554" t="s">
        <v>2468</v>
      </c>
      <c r="H554" s="13">
        <v>1202021</v>
      </c>
      <c r="I554" s="14">
        <v>11526428.1</v>
      </c>
      <c r="J554" t="s">
        <v>1052</v>
      </c>
      <c r="K554" s="10">
        <v>9.5923599999999993</v>
      </c>
      <c r="N554" s="10">
        <v>5.5778019565217418</v>
      </c>
      <c r="O554" s="10">
        <v>6.1940807692307667</v>
      </c>
      <c r="P554" s="10">
        <v>6.8992628846153874</v>
      </c>
      <c r="Q554" s="10">
        <v>7.4369503846153879</v>
      </c>
      <c r="R554" s="10">
        <v>7.883609615384616</v>
      </c>
      <c r="S554" s="10">
        <v>8.1672999999999956</v>
      </c>
      <c r="T554" s="10">
        <v>8.5118036538461528</v>
      </c>
      <c r="U554" s="10">
        <v>8.7939799999999924</v>
      </c>
      <c r="V554" s="10">
        <v>9.0493638461538524</v>
      </c>
      <c r="W554" s="10">
        <v>9.3013901923076965</v>
      </c>
      <c r="X554" s="10">
        <v>9.5811915094339675</v>
      </c>
      <c r="Y554" s="10">
        <v>9.5950217073170752</v>
      </c>
      <c r="Z554" s="11">
        <f t="shared" si="8"/>
        <v>0.21533053999999999</v>
      </c>
    </row>
    <row r="555" spans="1:26" x14ac:dyDescent="0.3">
      <c r="A555" t="s">
        <v>554</v>
      </c>
      <c r="B555" t="s">
        <v>2480</v>
      </c>
      <c r="C555" t="s">
        <v>1721</v>
      </c>
      <c r="D555" t="s">
        <v>1014</v>
      </c>
      <c r="E555" t="s">
        <v>1019</v>
      </c>
      <c r="F555" t="s">
        <v>1305</v>
      </c>
      <c r="G555" t="s">
        <v>1306</v>
      </c>
      <c r="H555" s="13">
        <v>1059946</v>
      </c>
      <c r="I555" s="14">
        <v>11525547.82</v>
      </c>
      <c r="J555" t="s">
        <v>1052</v>
      </c>
      <c r="K555" s="10">
        <v>10.552149999999999</v>
      </c>
      <c r="M555" s="10">
        <v>9.4683392452830173</v>
      </c>
      <c r="N555" s="10">
        <v>10.86742326923077</v>
      </c>
      <c r="O555" s="10">
        <v>11.75327230769231</v>
      </c>
      <c r="P555" s="10">
        <v>12.460537307692309</v>
      </c>
      <c r="Q555" s="10">
        <v>13.707639038461551</v>
      </c>
      <c r="R555" s="10">
        <v>14.41568692307694</v>
      </c>
      <c r="S555" s="10">
        <v>15.116805283018859</v>
      </c>
      <c r="T555" s="10">
        <v>15.875641730769241</v>
      </c>
      <c r="U555" s="10">
        <v>16.677463461538441</v>
      </c>
      <c r="V555" s="10">
        <v>17.483245192307681</v>
      </c>
      <c r="W555" s="10">
        <v>18.29879</v>
      </c>
      <c r="X555" s="10">
        <v>10.55288528301887</v>
      </c>
      <c r="Y555" s="10">
        <v>10.55045707317073</v>
      </c>
      <c r="Z555" s="11">
        <f t="shared" si="8"/>
        <v>-0.26795820999999997</v>
      </c>
    </row>
    <row r="556" spans="1:26" x14ac:dyDescent="0.3">
      <c r="A556" t="s">
        <v>555</v>
      </c>
      <c r="B556" t="s">
        <v>2481</v>
      </c>
      <c r="C556" t="s">
        <v>2482</v>
      </c>
      <c r="D556" t="s">
        <v>1014</v>
      </c>
      <c r="E556" t="s">
        <v>1027</v>
      </c>
      <c r="F556" t="s">
        <v>1382</v>
      </c>
      <c r="G556" t="s">
        <v>1523</v>
      </c>
      <c r="H556" s="13">
        <v>1280.289</v>
      </c>
      <c r="I556" s="14">
        <v>11517515.890000001</v>
      </c>
      <c r="J556" t="s">
        <v>1061</v>
      </c>
      <c r="K556" s="10">
        <v>9358.6598599999998</v>
      </c>
      <c r="X556" s="10">
        <v>8997.8877311320794</v>
      </c>
      <c r="Y556" s="10">
        <v>9361.3512941463487</v>
      </c>
      <c r="Z556" s="11" t="str">
        <f t="shared" si="8"/>
        <v/>
      </c>
    </row>
    <row r="557" spans="1:26" x14ac:dyDescent="0.3">
      <c r="A557" t="s">
        <v>556</v>
      </c>
      <c r="B557" t="s">
        <v>2483</v>
      </c>
      <c r="C557" t="s">
        <v>2484</v>
      </c>
      <c r="D557" t="s">
        <v>1015</v>
      </c>
      <c r="E557" t="s">
        <v>1026</v>
      </c>
      <c r="F557" t="s">
        <v>1382</v>
      </c>
      <c r="G557" t="s">
        <v>2485</v>
      </c>
      <c r="H557" s="13">
        <v>23207135.921999998</v>
      </c>
      <c r="I557" s="14">
        <v>11484642.99</v>
      </c>
      <c r="J557" t="s">
        <v>1163</v>
      </c>
      <c r="K557" s="10">
        <v>0.14555000000000001</v>
      </c>
      <c r="M557" s="10">
        <v>0.31237226415094349</v>
      </c>
      <c r="N557" s="10">
        <v>0.30781192307692312</v>
      </c>
      <c r="O557" s="10">
        <v>0.29217346153846158</v>
      </c>
      <c r="P557" s="10">
        <v>0.24142442307692311</v>
      </c>
      <c r="Q557" s="10">
        <v>0.21175115384615389</v>
      </c>
      <c r="R557" s="10">
        <v>0.19885249999999999</v>
      </c>
      <c r="S557" s="10">
        <v>0.1934305660377359</v>
      </c>
      <c r="T557" s="10">
        <v>0.1800294230769231</v>
      </c>
      <c r="U557" s="10">
        <v>0.17329480769230771</v>
      </c>
      <c r="V557" s="10">
        <v>0.1774840384615384</v>
      </c>
      <c r="W557" s="10">
        <v>0.16654846153846151</v>
      </c>
      <c r="X557" s="10">
        <v>0.1552632075471698</v>
      </c>
      <c r="Y557" s="10">
        <v>0.13705170731707311</v>
      </c>
      <c r="Z557" s="11">
        <f t="shared" si="8"/>
        <v>-0.21920414999999999</v>
      </c>
    </row>
    <row r="558" spans="1:26" x14ac:dyDescent="0.3">
      <c r="A558" t="s">
        <v>557</v>
      </c>
      <c r="B558" t="s">
        <v>2486</v>
      </c>
      <c r="C558" t="s">
        <v>2487</v>
      </c>
      <c r="D558" t="s">
        <v>1014</v>
      </c>
      <c r="E558" t="s">
        <v>1018</v>
      </c>
      <c r="F558" t="s">
        <v>1059</v>
      </c>
      <c r="G558" t="s">
        <v>2488</v>
      </c>
      <c r="H558" s="13">
        <v>878637</v>
      </c>
      <c r="I558" s="14">
        <v>11479956.66</v>
      </c>
      <c r="J558" t="s">
        <v>1052</v>
      </c>
      <c r="K558" s="10">
        <v>13.18651</v>
      </c>
      <c r="M558" s="10">
        <v>6.1339832075471676</v>
      </c>
      <c r="N558" s="10">
        <v>7.4926975000000002</v>
      </c>
      <c r="O558" s="10">
        <v>8.9211103846153854</v>
      </c>
      <c r="P558" s="10">
        <v>9.4084753846153841</v>
      </c>
      <c r="Q558" s="10">
        <v>10.063390961538451</v>
      </c>
      <c r="R558" s="10">
        <v>10.49617115384615</v>
      </c>
      <c r="S558" s="10">
        <v>10.51465283018868</v>
      </c>
      <c r="T558" s="10">
        <v>10.82544442307692</v>
      </c>
      <c r="U558" s="10">
        <v>11.546503653846161</v>
      </c>
      <c r="V558" s="10">
        <v>12.126677692307711</v>
      </c>
      <c r="W558" s="10">
        <v>12.750871346153851</v>
      </c>
      <c r="X558" s="10">
        <v>12.933312641509421</v>
      </c>
      <c r="Y558" s="10">
        <v>13.19236365853658</v>
      </c>
      <c r="Z558" s="11">
        <f t="shared" si="8"/>
        <v>0.23219338</v>
      </c>
    </row>
    <row r="559" spans="1:26" x14ac:dyDescent="0.3">
      <c r="A559" t="s">
        <v>558</v>
      </c>
      <c r="B559" t="s">
        <v>2489</v>
      </c>
      <c r="C559" t="s">
        <v>2490</v>
      </c>
      <c r="D559" t="s">
        <v>1014</v>
      </c>
      <c r="E559" t="s">
        <v>1027</v>
      </c>
      <c r="F559" t="s">
        <v>1193</v>
      </c>
      <c r="G559" t="s">
        <v>2491</v>
      </c>
      <c r="H559" s="13">
        <v>365680.13299999997</v>
      </c>
      <c r="I559" s="14">
        <v>11444394.550000001</v>
      </c>
      <c r="J559" t="s">
        <v>1052</v>
      </c>
      <c r="K559" s="10">
        <v>32.330730000000003</v>
      </c>
      <c r="M559" s="10">
        <v>13.83466679245282</v>
      </c>
      <c r="N559" s="10">
        <v>17.419428653846161</v>
      </c>
      <c r="O559" s="10">
        <v>20.940251923076929</v>
      </c>
      <c r="P559" s="10">
        <v>21.798912692307699</v>
      </c>
      <c r="Q559" s="10">
        <v>23.818529807692322</v>
      </c>
      <c r="R559" s="10">
        <v>24.62103557692306</v>
      </c>
      <c r="S559" s="10">
        <v>25.41099490566037</v>
      </c>
      <c r="T559" s="10">
        <v>26.625993076923081</v>
      </c>
      <c r="U559" s="10">
        <v>28.418176153846129</v>
      </c>
      <c r="V559" s="10">
        <v>30.702071923076922</v>
      </c>
      <c r="W559" s="10">
        <v>30.663372500000019</v>
      </c>
      <c r="X559" s="10">
        <v>31.475555094339629</v>
      </c>
      <c r="Y559" s="10">
        <v>32.35787975609756</v>
      </c>
      <c r="Z559" s="11">
        <f t="shared" si="8"/>
        <v>0.27840093999999999</v>
      </c>
    </row>
    <row r="560" spans="1:26" x14ac:dyDescent="0.3">
      <c r="A560" t="s">
        <v>559</v>
      </c>
      <c r="B560" t="s">
        <v>2492</v>
      </c>
      <c r="C560" t="s">
        <v>2493</v>
      </c>
      <c r="D560" t="s">
        <v>1014</v>
      </c>
      <c r="E560" t="s">
        <v>1033</v>
      </c>
      <c r="F560" t="s">
        <v>2494</v>
      </c>
      <c r="G560" t="s">
        <v>2495</v>
      </c>
      <c r="H560" s="13">
        <v>332207.97200000001</v>
      </c>
      <c r="I560" s="14">
        <v>11426825.310000001</v>
      </c>
      <c r="J560" t="s">
        <v>1052</v>
      </c>
      <c r="K560" s="10">
        <v>34.017809999999997</v>
      </c>
      <c r="Q560" s="10">
        <v>24.961794230769229</v>
      </c>
      <c r="R560" s="10">
        <v>26.328247692307698</v>
      </c>
      <c r="S560" s="10">
        <v>28.16009113207549</v>
      </c>
      <c r="T560" s="10">
        <v>29.774233461538469</v>
      </c>
      <c r="U560" s="10">
        <v>30.777543846153829</v>
      </c>
      <c r="V560" s="10">
        <v>31.749495576923071</v>
      </c>
      <c r="W560" s="10">
        <v>32.820224038461518</v>
      </c>
      <c r="X560" s="10">
        <v>34.054187547169803</v>
      </c>
      <c r="Y560" s="10">
        <v>34.023037804878037</v>
      </c>
      <c r="Z560" s="11">
        <f t="shared" si="8"/>
        <v>0.29344679000000001</v>
      </c>
    </row>
    <row r="561" spans="1:26" x14ac:dyDescent="0.3">
      <c r="A561" t="s">
        <v>560</v>
      </c>
      <c r="B561" t="s">
        <v>2496</v>
      </c>
      <c r="C561" t="s">
        <v>2497</v>
      </c>
      <c r="D561" t="s">
        <v>1014</v>
      </c>
      <c r="E561" t="s">
        <v>1027</v>
      </c>
      <c r="F561" t="s">
        <v>1449</v>
      </c>
      <c r="G561" t="s">
        <v>2498</v>
      </c>
      <c r="H561" s="13">
        <v>387804</v>
      </c>
      <c r="I561" s="14">
        <v>11425848.869999999</v>
      </c>
      <c r="J561" t="s">
        <v>1052</v>
      </c>
      <c r="K561" s="10">
        <v>31.342919999999999</v>
      </c>
      <c r="V561" s="10">
        <v>26.282878076923069</v>
      </c>
      <c r="W561" s="10">
        <v>27.851848461538459</v>
      </c>
      <c r="X561" s="10">
        <v>29.523916603773579</v>
      </c>
      <c r="Y561" s="10">
        <v>31.273442195121959</v>
      </c>
      <c r="Z561" s="11" t="str">
        <f t="shared" si="8"/>
        <v/>
      </c>
    </row>
    <row r="562" spans="1:26" x14ac:dyDescent="0.3">
      <c r="A562" t="s">
        <v>561</v>
      </c>
      <c r="B562" t="s">
        <v>2499</v>
      </c>
      <c r="C562" t="s">
        <v>2500</v>
      </c>
      <c r="D562" t="s">
        <v>1014</v>
      </c>
      <c r="E562" t="s">
        <v>1019</v>
      </c>
      <c r="F562" t="s">
        <v>1059</v>
      </c>
      <c r="G562" t="s">
        <v>2118</v>
      </c>
      <c r="H562" s="13">
        <v>1248643.55</v>
      </c>
      <c r="I562" s="14">
        <v>11402243.92</v>
      </c>
      <c r="J562" t="s">
        <v>1061</v>
      </c>
      <c r="K562" s="10">
        <v>9.3937899999999992</v>
      </c>
      <c r="Q562" s="10">
        <v>22.557169999999999</v>
      </c>
      <c r="R562" s="10">
        <v>17.734349999999989</v>
      </c>
      <c r="S562" s="10">
        <v>12.548513962264151</v>
      </c>
      <c r="T562" s="10">
        <v>12.574160384615389</v>
      </c>
      <c r="U562" s="10">
        <v>9.4881842307692335</v>
      </c>
      <c r="V562" s="10">
        <v>9.399822692307696</v>
      </c>
      <c r="W562" s="10">
        <v>9.4151211538461546</v>
      </c>
      <c r="X562" s="10">
        <v>9.4105464150943394</v>
      </c>
      <c r="Y562" s="10">
        <v>9.3940870731707324</v>
      </c>
      <c r="Z562" s="11">
        <f t="shared" si="8"/>
        <v>-0.46936051000000001</v>
      </c>
    </row>
    <row r="563" spans="1:26" x14ac:dyDescent="0.3">
      <c r="A563" t="s">
        <v>562</v>
      </c>
      <c r="B563" t="s">
        <v>2501</v>
      </c>
      <c r="C563" t="s">
        <v>2502</v>
      </c>
      <c r="D563" t="s">
        <v>1015</v>
      </c>
      <c r="E563" t="s">
        <v>1027</v>
      </c>
      <c r="F563" t="s">
        <v>1551</v>
      </c>
      <c r="G563" t="s">
        <v>2503</v>
      </c>
      <c r="H563" s="13">
        <v>744604</v>
      </c>
      <c r="I563" s="14">
        <v>11386043.58</v>
      </c>
      <c r="J563" t="s">
        <v>1052</v>
      </c>
      <c r="K563" s="10">
        <v>9.5783000000000005</v>
      </c>
      <c r="X563" s="10">
        <v>16.639352830188681</v>
      </c>
      <c r="Y563" s="10">
        <v>11.33538878048781</v>
      </c>
      <c r="Z563" s="11" t="str">
        <f t="shared" si="8"/>
        <v/>
      </c>
    </row>
    <row r="564" spans="1:26" x14ac:dyDescent="0.3">
      <c r="A564" t="s">
        <v>563</v>
      </c>
      <c r="B564" t="s">
        <v>2504</v>
      </c>
      <c r="C564" t="s">
        <v>2505</v>
      </c>
      <c r="D564" t="s">
        <v>1014</v>
      </c>
      <c r="E564" t="s">
        <v>1027</v>
      </c>
      <c r="F564" t="s">
        <v>1735</v>
      </c>
      <c r="G564" t="s">
        <v>2506</v>
      </c>
      <c r="H564" s="13">
        <v>16571</v>
      </c>
      <c r="I564" s="14">
        <v>11351424.23</v>
      </c>
      <c r="J564" t="s">
        <v>1052</v>
      </c>
      <c r="K564" s="10">
        <v>725.97470999999996</v>
      </c>
      <c r="M564" s="10">
        <v>333.92491980392128</v>
      </c>
      <c r="N564" s="10">
        <v>368.3016553846154</v>
      </c>
      <c r="O564" s="10">
        <v>418.27989673076951</v>
      </c>
      <c r="P564" s="10">
        <v>455.02219961538452</v>
      </c>
      <c r="Q564" s="10">
        <v>490.61855923076911</v>
      </c>
      <c r="R564" s="10">
        <v>524.93420730769208</v>
      </c>
      <c r="S564" s="10">
        <v>551.5455618867926</v>
      </c>
      <c r="T564" s="10">
        <v>568.24523634615355</v>
      </c>
      <c r="U564" s="10">
        <v>599.89625730769285</v>
      </c>
      <c r="V564" s="10">
        <v>638.45642115384669</v>
      </c>
      <c r="W564" s="10">
        <v>676.01784346153852</v>
      </c>
      <c r="X564" s="10">
        <v>690.03073962264193</v>
      </c>
      <c r="Y564" s="10">
        <v>724.72087780487732</v>
      </c>
      <c r="Z564" s="11">
        <f t="shared" si="8"/>
        <v>0.31450899999999998</v>
      </c>
    </row>
    <row r="565" spans="1:26" x14ac:dyDescent="0.3">
      <c r="A565" t="s">
        <v>564</v>
      </c>
      <c r="B565" t="s">
        <v>2507</v>
      </c>
      <c r="C565" t="s">
        <v>2508</v>
      </c>
      <c r="D565" t="s">
        <v>1014</v>
      </c>
      <c r="E565" t="s">
        <v>1019</v>
      </c>
      <c r="F565" t="s">
        <v>1064</v>
      </c>
      <c r="G565" t="s">
        <v>2509</v>
      </c>
      <c r="H565" s="13">
        <v>413092.85</v>
      </c>
      <c r="I565" s="14">
        <v>11345280.300000001</v>
      </c>
      <c r="J565" t="s">
        <v>1061</v>
      </c>
      <c r="K565" s="10">
        <v>6.9216699999999998</v>
      </c>
      <c r="R565" s="10">
        <v>27.702960000000001</v>
      </c>
      <c r="S565" s="10">
        <v>27.730123207547159</v>
      </c>
      <c r="T565" s="10">
        <v>27.784784999999999</v>
      </c>
      <c r="U565" s="10">
        <v>27.824884999999981</v>
      </c>
      <c r="V565" s="10">
        <v>27.730274615384619</v>
      </c>
      <c r="W565" s="10">
        <v>27.76375596153845</v>
      </c>
      <c r="X565" s="10">
        <v>27.749398301886789</v>
      </c>
      <c r="Y565" s="10">
        <v>7.4345048780487799</v>
      </c>
      <c r="Z565" s="11">
        <f t="shared" si="8"/>
        <v>1.67629E-3</v>
      </c>
    </row>
    <row r="566" spans="1:26" x14ac:dyDescent="0.3">
      <c r="A566" t="s">
        <v>565</v>
      </c>
      <c r="B566" t="s">
        <v>2510</v>
      </c>
      <c r="C566" t="s">
        <v>2511</v>
      </c>
      <c r="D566" t="s">
        <v>1015</v>
      </c>
      <c r="E566" t="s">
        <v>1033</v>
      </c>
      <c r="F566" t="s">
        <v>2052</v>
      </c>
      <c r="G566" t="s">
        <v>2512</v>
      </c>
      <c r="H566" s="13">
        <v>1161738.7</v>
      </c>
      <c r="I566" s="14">
        <v>11324480.800000001</v>
      </c>
      <c r="J566" t="s">
        <v>1052</v>
      </c>
      <c r="K566" s="10">
        <v>9.3865800000000004</v>
      </c>
      <c r="W566" s="10">
        <v>10.93033178571428</v>
      </c>
      <c r="X566" s="10">
        <v>9.8317658490566</v>
      </c>
      <c r="Y566" s="10">
        <v>9.6503185365853632</v>
      </c>
      <c r="Z566" s="11" t="str">
        <f t="shared" si="8"/>
        <v/>
      </c>
    </row>
    <row r="567" spans="1:26" x14ac:dyDescent="0.3">
      <c r="A567" t="s">
        <v>566</v>
      </c>
      <c r="B567" t="s">
        <v>2513</v>
      </c>
      <c r="C567" t="s">
        <v>2514</v>
      </c>
      <c r="D567" t="s">
        <v>1014</v>
      </c>
      <c r="E567" t="s">
        <v>1027</v>
      </c>
      <c r="F567" t="s">
        <v>1114</v>
      </c>
      <c r="G567" t="s">
        <v>2515</v>
      </c>
      <c r="H567" s="13">
        <v>1157891</v>
      </c>
      <c r="I567" s="14">
        <v>11237029.43</v>
      </c>
      <c r="J567" t="s">
        <v>1052</v>
      </c>
      <c r="K567" s="10">
        <v>9.6875800000000005</v>
      </c>
      <c r="X567" s="10">
        <v>9.6966478723404279</v>
      </c>
      <c r="Y567" s="10">
        <v>9.6974575609756144</v>
      </c>
      <c r="Z567" s="11" t="str">
        <f t="shared" si="8"/>
        <v/>
      </c>
    </row>
    <row r="568" spans="1:26" x14ac:dyDescent="0.3">
      <c r="A568" t="s">
        <v>567</v>
      </c>
      <c r="B568" t="s">
        <v>2516</v>
      </c>
      <c r="C568" t="s">
        <v>2517</v>
      </c>
      <c r="D568" t="s">
        <v>1014</v>
      </c>
      <c r="E568" t="s">
        <v>1028</v>
      </c>
      <c r="F568" t="s">
        <v>2518</v>
      </c>
      <c r="G568" t="s">
        <v>2519</v>
      </c>
      <c r="H568" s="13">
        <v>187691.5</v>
      </c>
      <c r="I568" s="14">
        <v>11222214.17</v>
      </c>
      <c r="J568" t="s">
        <v>1052</v>
      </c>
      <c r="K568" s="10">
        <v>61.995890000000003</v>
      </c>
      <c r="X568" s="10">
        <v>60.347100188679278</v>
      </c>
      <c r="Y568" s="10">
        <v>62.028296585365872</v>
      </c>
      <c r="Z568" s="11" t="str">
        <f t="shared" si="8"/>
        <v/>
      </c>
    </row>
    <row r="569" spans="1:26" x14ac:dyDescent="0.3">
      <c r="A569" t="s">
        <v>568</v>
      </c>
      <c r="B569" t="s">
        <v>2520</v>
      </c>
      <c r="C569" t="s">
        <v>2521</v>
      </c>
      <c r="D569" t="s">
        <v>1014</v>
      </c>
      <c r="E569" t="s">
        <v>1030</v>
      </c>
      <c r="F569" t="s">
        <v>2279</v>
      </c>
      <c r="G569" t="s">
        <v>2280</v>
      </c>
      <c r="H569" s="13">
        <v>794559</v>
      </c>
      <c r="I569" s="14">
        <v>11213135.9</v>
      </c>
      <c r="J569" t="s">
        <v>1052</v>
      </c>
      <c r="K569" s="10">
        <v>15.222340000000001</v>
      </c>
      <c r="M569" s="10">
        <v>5.9484088679245266</v>
      </c>
      <c r="N569" s="10">
        <v>6.8197360416666681</v>
      </c>
      <c r="O569" s="10">
        <v>7.6786238461538439</v>
      </c>
      <c r="P569" s="10">
        <v>8.3511792307692296</v>
      </c>
      <c r="Q569" s="10">
        <v>9.1303813461538468</v>
      </c>
      <c r="R569" s="10">
        <v>10.007444038461539</v>
      </c>
      <c r="S569" s="10">
        <v>10.5089720754717</v>
      </c>
      <c r="T569" s="10">
        <v>11.065181923076929</v>
      </c>
      <c r="U569" s="10">
        <v>11.60626000000001</v>
      </c>
      <c r="V569" s="10">
        <v>12.174353846153849</v>
      </c>
      <c r="W569" s="10">
        <v>13.27238711538461</v>
      </c>
      <c r="X569" s="10">
        <v>14.05637283018868</v>
      </c>
      <c r="Y569" s="10">
        <v>15.23670829268293</v>
      </c>
      <c r="Z569" s="11">
        <f t="shared" si="8"/>
        <v>0.4045917</v>
      </c>
    </row>
    <row r="570" spans="1:26" x14ac:dyDescent="0.3">
      <c r="A570" t="s">
        <v>569</v>
      </c>
      <c r="B570" t="s">
        <v>2522</v>
      </c>
      <c r="C570" t="s">
        <v>1752</v>
      </c>
      <c r="D570" t="s">
        <v>1015</v>
      </c>
      <c r="E570" t="s">
        <v>1030</v>
      </c>
      <c r="F570" t="s">
        <v>2171</v>
      </c>
      <c r="G570" t="s">
        <v>1619</v>
      </c>
      <c r="H570" s="13">
        <v>640488</v>
      </c>
      <c r="I570" s="14">
        <v>11156616.32</v>
      </c>
      <c r="J570" t="s">
        <v>1052</v>
      </c>
      <c r="K570" s="10">
        <v>0.66281999999999996</v>
      </c>
      <c r="W570" s="10">
        <v>0.84304930232558106</v>
      </c>
      <c r="X570" s="10">
        <v>0.72262188679245276</v>
      </c>
      <c r="Y570" s="10">
        <v>0.66755682926829296</v>
      </c>
      <c r="Z570" s="11" t="str">
        <f t="shared" si="8"/>
        <v/>
      </c>
    </row>
    <row r="571" spans="1:26" x14ac:dyDescent="0.3">
      <c r="A571" t="s">
        <v>570</v>
      </c>
      <c r="B571" t="s">
        <v>2523</v>
      </c>
      <c r="C571" t="s">
        <v>2524</v>
      </c>
      <c r="D571" t="s">
        <v>1014</v>
      </c>
      <c r="E571" t="s">
        <v>1019</v>
      </c>
      <c r="F571" t="s">
        <v>1064</v>
      </c>
      <c r="G571" t="s">
        <v>2509</v>
      </c>
      <c r="H571" s="13">
        <v>311004.09999999998</v>
      </c>
      <c r="I571" s="14">
        <v>11142756.789999999</v>
      </c>
      <c r="J571" t="s">
        <v>1061</v>
      </c>
      <c r="K571" s="10">
        <v>8.9103999999999992</v>
      </c>
      <c r="R571" s="10">
        <v>35.795787692307677</v>
      </c>
      <c r="S571" s="10">
        <v>35.66087905660379</v>
      </c>
      <c r="T571" s="10">
        <v>35.642869615384647</v>
      </c>
      <c r="U571" s="10">
        <v>35.760325384615413</v>
      </c>
      <c r="V571" s="10">
        <v>35.721570769230809</v>
      </c>
      <c r="W571" s="10">
        <v>35.739834038461552</v>
      </c>
      <c r="X571" s="10">
        <v>35.741781509433963</v>
      </c>
      <c r="Y571" s="10">
        <v>9.5750104878048781</v>
      </c>
      <c r="Z571" s="11">
        <f t="shared" si="8"/>
        <v>-1.50873E-3</v>
      </c>
    </row>
    <row r="572" spans="1:26" x14ac:dyDescent="0.3">
      <c r="A572" t="s">
        <v>571</v>
      </c>
      <c r="B572" t="s">
        <v>2525</v>
      </c>
      <c r="C572" t="s">
        <v>2526</v>
      </c>
      <c r="D572" t="s">
        <v>1015</v>
      </c>
      <c r="E572" t="s">
        <v>1705</v>
      </c>
      <c r="F572" t="s">
        <v>2527</v>
      </c>
      <c r="G572" t="s">
        <v>2528</v>
      </c>
      <c r="H572" s="13">
        <v>525330659.62800002</v>
      </c>
      <c r="I572" s="14">
        <v>11138412.15</v>
      </c>
      <c r="J572" t="s">
        <v>1061</v>
      </c>
      <c r="K572" s="10">
        <v>7.3400000000000002E-3</v>
      </c>
      <c r="M572" s="10">
        <v>5.820188679245282E-3</v>
      </c>
      <c r="N572" s="10">
        <v>5.5109615384615392E-3</v>
      </c>
      <c r="O572" s="10">
        <v>5.2328846153846158E-3</v>
      </c>
      <c r="P572" s="10">
        <v>5.7267307692307704E-3</v>
      </c>
      <c r="Q572" s="10">
        <v>5.7286538461538477E-3</v>
      </c>
      <c r="R572" s="10">
        <v>6.1378846153846136E-3</v>
      </c>
      <c r="S572" s="10">
        <v>6.5467924528301892E-3</v>
      </c>
      <c r="T572" s="10">
        <v>6.0542307692307683E-3</v>
      </c>
      <c r="U572" s="10">
        <v>5.5123076923076896E-3</v>
      </c>
      <c r="V572" s="10">
        <v>5.3469230769230781E-3</v>
      </c>
      <c r="W572" s="10">
        <v>6.5144230769230774E-3</v>
      </c>
      <c r="X572" s="10">
        <v>7.4624528301886778E-3</v>
      </c>
      <c r="Y572" s="10">
        <v>7.2202439024390249E-3</v>
      </c>
      <c r="Z572" s="11">
        <f t="shared" si="8"/>
        <v>0.21580207000000001</v>
      </c>
    </row>
    <row r="573" spans="1:26" x14ac:dyDescent="0.3">
      <c r="A573" t="s">
        <v>572</v>
      </c>
      <c r="B573" t="s">
        <v>2529</v>
      </c>
      <c r="C573" t="s">
        <v>2530</v>
      </c>
      <c r="D573" t="s">
        <v>1014</v>
      </c>
      <c r="E573" t="s">
        <v>1020</v>
      </c>
      <c r="F573" t="s">
        <v>1096</v>
      </c>
      <c r="G573" t="s">
        <v>2153</v>
      </c>
      <c r="H573" s="13">
        <v>3125.85</v>
      </c>
      <c r="I573" s="14">
        <v>11124157.1</v>
      </c>
      <c r="J573" t="s">
        <v>1052</v>
      </c>
      <c r="K573" s="10">
        <v>4588.5468600000004</v>
      </c>
      <c r="X573" s="10">
        <v>4450.3359469565239</v>
      </c>
      <c r="Y573" s="10">
        <v>4470.8586160975601</v>
      </c>
      <c r="Z573" s="11" t="str">
        <f t="shared" si="8"/>
        <v/>
      </c>
    </row>
    <row r="574" spans="1:26" x14ac:dyDescent="0.3">
      <c r="A574" t="s">
        <v>573</v>
      </c>
      <c r="B574" t="s">
        <v>2531</v>
      </c>
      <c r="C574" t="s">
        <v>2532</v>
      </c>
      <c r="D574" t="s">
        <v>1014</v>
      </c>
      <c r="E574" t="s">
        <v>1032</v>
      </c>
      <c r="F574" t="s">
        <v>2533</v>
      </c>
      <c r="G574" t="s">
        <v>2534</v>
      </c>
      <c r="H574" s="13">
        <v>279888</v>
      </c>
      <c r="I574" s="14">
        <v>11110402.210000001</v>
      </c>
      <c r="J574" t="s">
        <v>1061</v>
      </c>
      <c r="K574" s="10">
        <v>40.837060000000001</v>
      </c>
      <c r="R574" s="10">
        <v>28.76160999999999</v>
      </c>
      <c r="S574" s="10">
        <v>30.82569792452831</v>
      </c>
      <c r="T574" s="10">
        <v>32.644482884615392</v>
      </c>
      <c r="U574" s="10">
        <v>34.026007115384637</v>
      </c>
      <c r="V574" s="10">
        <v>35.708305961538443</v>
      </c>
      <c r="W574" s="10">
        <v>37.558095192307697</v>
      </c>
      <c r="X574" s="10">
        <v>39.349335849056608</v>
      </c>
      <c r="Y574" s="10">
        <v>40.882525365853667</v>
      </c>
      <c r="Z574" s="11">
        <f t="shared" si="8"/>
        <v>0.36812007000000002</v>
      </c>
    </row>
    <row r="575" spans="1:26" x14ac:dyDescent="0.3">
      <c r="A575" t="s">
        <v>574</v>
      </c>
      <c r="B575" t="s">
        <v>2535</v>
      </c>
      <c r="C575" t="s">
        <v>2536</v>
      </c>
      <c r="D575" t="s">
        <v>1014</v>
      </c>
      <c r="E575" t="s">
        <v>1018</v>
      </c>
      <c r="F575" t="s">
        <v>1862</v>
      </c>
      <c r="G575" t="s">
        <v>2537</v>
      </c>
      <c r="H575" s="13">
        <v>2708184.4780000001</v>
      </c>
      <c r="I575" s="14">
        <v>11004195.67</v>
      </c>
      <c r="J575" t="s">
        <v>1061</v>
      </c>
      <c r="K575" s="10">
        <v>4.2032100000000003</v>
      </c>
      <c r="S575" s="10">
        <v>3.2010172972972981</v>
      </c>
      <c r="T575" s="10">
        <v>3.3020069230769229</v>
      </c>
      <c r="U575" s="10">
        <v>3.4032284615384611</v>
      </c>
      <c r="V575" s="10">
        <v>3.5341811538461529</v>
      </c>
      <c r="W575" s="10">
        <v>3.7477648076923091</v>
      </c>
      <c r="X575" s="10">
        <v>4.0626098113207547</v>
      </c>
      <c r="Y575" s="10">
        <v>4.1994604878048776</v>
      </c>
      <c r="Z575" s="11" t="str">
        <f t="shared" si="8"/>
        <v/>
      </c>
    </row>
    <row r="576" spans="1:26" x14ac:dyDescent="0.3">
      <c r="A576" t="s">
        <v>575</v>
      </c>
      <c r="B576" t="s">
        <v>2538</v>
      </c>
      <c r="C576" t="s">
        <v>2539</v>
      </c>
      <c r="D576" t="s">
        <v>1015</v>
      </c>
      <c r="E576" t="s">
        <v>1033</v>
      </c>
      <c r="F576" t="s">
        <v>2052</v>
      </c>
      <c r="G576" t="s">
        <v>2512</v>
      </c>
      <c r="H576" s="13">
        <v>1157994</v>
      </c>
      <c r="I576" s="14">
        <v>11000510.720000001</v>
      </c>
      <c r="J576" t="s">
        <v>1052</v>
      </c>
      <c r="K576" s="10">
        <v>9.1767099999999999</v>
      </c>
      <c r="W576" s="10">
        <v>9.8481649999999998</v>
      </c>
      <c r="X576" s="10">
        <v>10.005747924528301</v>
      </c>
      <c r="Y576" s="10">
        <v>9.4511309756097521</v>
      </c>
      <c r="Z576" s="11" t="str">
        <f t="shared" si="8"/>
        <v/>
      </c>
    </row>
    <row r="577" spans="1:26" x14ac:dyDescent="0.3">
      <c r="A577" t="s">
        <v>576</v>
      </c>
      <c r="B577" t="s">
        <v>2540</v>
      </c>
      <c r="C577" t="s">
        <v>2541</v>
      </c>
      <c r="D577" t="s">
        <v>1015</v>
      </c>
      <c r="E577" t="s">
        <v>1019</v>
      </c>
      <c r="F577" t="s">
        <v>1639</v>
      </c>
      <c r="G577" t="s">
        <v>2542</v>
      </c>
      <c r="H577" s="13">
        <v>53480.521999999997</v>
      </c>
      <c r="I577" s="14">
        <v>10974750.6</v>
      </c>
      <c r="J577" t="s">
        <v>1052</v>
      </c>
      <c r="K577" s="10">
        <v>154.20337000000001</v>
      </c>
      <c r="T577" s="10">
        <v>221.86204787878791</v>
      </c>
      <c r="U577" s="10">
        <v>220.85959519230769</v>
      </c>
      <c r="V577" s="10">
        <v>222.86470019230779</v>
      </c>
      <c r="W577" s="10">
        <v>210.2031469230769</v>
      </c>
      <c r="X577" s="10">
        <v>218.11384528301889</v>
      </c>
      <c r="Y577" s="10">
        <v>182.25514560975611</v>
      </c>
      <c r="Z577" s="11" t="str">
        <f t="shared" si="8"/>
        <v/>
      </c>
    </row>
    <row r="578" spans="1:26" x14ac:dyDescent="0.3">
      <c r="A578" t="s">
        <v>577</v>
      </c>
      <c r="B578" t="s">
        <v>2543</v>
      </c>
      <c r="C578" t="s">
        <v>2544</v>
      </c>
      <c r="D578" t="s">
        <v>1014</v>
      </c>
      <c r="E578" t="s">
        <v>1027</v>
      </c>
      <c r="F578" t="s">
        <v>2545</v>
      </c>
      <c r="G578" t="s">
        <v>2546</v>
      </c>
      <c r="H578" s="13">
        <v>6338</v>
      </c>
      <c r="I578" s="14">
        <v>10947630.82</v>
      </c>
      <c r="J578" t="s">
        <v>1061</v>
      </c>
      <c r="K578" s="10">
        <v>1848.6727800000001</v>
      </c>
      <c r="X578" s="10">
        <v>1771.1201611320751</v>
      </c>
      <c r="Y578" s="10">
        <v>1846.938565365853</v>
      </c>
      <c r="Z578" s="11" t="str">
        <f t="shared" ref="Z578:Z641" si="9">IF(AND(ISNUMBER(INDEX($L578:$Y578,MATCH(BaseYear,p_years,0))),ISNUMBER(INDEX($L578:$Y578,MATCH(EndYear,p_years,0)))),ROUND(INDEX($L578:$Y578,MATCH(EndYear,p_years,0))/INDEX($L578:$Y578,MATCH(BaseYear,p_years,0))-1,8),"")</f>
        <v/>
      </c>
    </row>
    <row r="579" spans="1:26" x14ac:dyDescent="0.3">
      <c r="A579" t="s">
        <v>578</v>
      </c>
      <c r="B579" t="s">
        <v>2547</v>
      </c>
      <c r="C579" t="s">
        <v>2548</v>
      </c>
      <c r="D579" t="s">
        <v>1014</v>
      </c>
      <c r="E579" t="s">
        <v>1020</v>
      </c>
      <c r="F579" t="s">
        <v>2549</v>
      </c>
      <c r="G579" t="s">
        <v>2550</v>
      </c>
      <c r="H579" s="13">
        <v>1465286.3060000001</v>
      </c>
      <c r="I579" s="14">
        <v>10941637.640000001</v>
      </c>
      <c r="J579" t="s">
        <v>1052</v>
      </c>
      <c r="K579" s="10">
        <v>7.6675300000000002</v>
      </c>
      <c r="U579" s="10">
        <v>6.5008456756756798</v>
      </c>
      <c r="V579" s="10">
        <v>6.9467680769230746</v>
      </c>
      <c r="W579" s="10">
        <v>7.1303723076923076</v>
      </c>
      <c r="X579" s="10">
        <v>7.3049605660377326</v>
      </c>
      <c r="Y579" s="10">
        <v>7.4770643902439007</v>
      </c>
      <c r="Z579" s="11" t="str">
        <f t="shared" si="9"/>
        <v/>
      </c>
    </row>
    <row r="580" spans="1:26" x14ac:dyDescent="0.3">
      <c r="A580" t="s">
        <v>579</v>
      </c>
      <c r="B580" t="s">
        <v>2551</v>
      </c>
      <c r="C580" t="s">
        <v>2251</v>
      </c>
      <c r="D580" t="s">
        <v>1015</v>
      </c>
      <c r="E580" t="s">
        <v>1025</v>
      </c>
      <c r="F580" t="s">
        <v>2171</v>
      </c>
      <c r="G580" t="s">
        <v>2252</v>
      </c>
      <c r="H580" s="13">
        <v>43586029.023999996</v>
      </c>
      <c r="I580" s="14">
        <v>10937808.34</v>
      </c>
      <c r="J580" t="s">
        <v>1061</v>
      </c>
      <c r="K580" s="10">
        <v>0.10345</v>
      </c>
      <c r="M580" s="10">
        <v>7.1679433962264144E-2</v>
      </c>
      <c r="N580" s="10">
        <v>7.3944423076923074E-2</v>
      </c>
      <c r="O580" s="10">
        <v>7.7618076923076901E-2</v>
      </c>
      <c r="P580" s="10">
        <v>7.5376730769230779E-2</v>
      </c>
      <c r="Q580" s="10">
        <v>7.5458461538461558E-2</v>
      </c>
      <c r="R580" s="10">
        <v>9.4344230769230736E-2</v>
      </c>
      <c r="S580" s="10">
        <v>0.1076026415094339</v>
      </c>
      <c r="T580" s="10">
        <v>0.1149473076923077</v>
      </c>
      <c r="U580" s="10">
        <v>0.1118813461538461</v>
      </c>
      <c r="V580" s="10">
        <v>0.12782115384615389</v>
      </c>
      <c r="W580" s="10">
        <v>0.121186923076923</v>
      </c>
      <c r="X580" s="10">
        <v>0.1161396226415094</v>
      </c>
      <c r="Y580" s="10">
        <v>0.10808536585365849</v>
      </c>
      <c r="Z580" s="11">
        <f t="shared" si="9"/>
        <v>0.23101986999999999</v>
      </c>
    </row>
    <row r="581" spans="1:26" x14ac:dyDescent="0.3">
      <c r="A581" t="s">
        <v>580</v>
      </c>
      <c r="B581" t="s">
        <v>2552</v>
      </c>
      <c r="C581" t="s">
        <v>2553</v>
      </c>
      <c r="D581" t="s">
        <v>1014</v>
      </c>
      <c r="E581" t="s">
        <v>1032</v>
      </c>
      <c r="F581" t="s">
        <v>2554</v>
      </c>
      <c r="G581" t="s">
        <v>2555</v>
      </c>
      <c r="H581" s="13">
        <v>56381</v>
      </c>
      <c r="I581" s="14">
        <v>10923144.039999999</v>
      </c>
      <c r="J581" t="s">
        <v>1052</v>
      </c>
      <c r="K581" s="10">
        <v>188.51626999999999</v>
      </c>
      <c r="W581" s="10">
        <v>189.57528634615389</v>
      </c>
      <c r="X581" s="10">
        <v>189.22231358490569</v>
      </c>
      <c r="Y581" s="10">
        <v>188.51734073170729</v>
      </c>
      <c r="Z581" s="11" t="str">
        <f t="shared" si="9"/>
        <v/>
      </c>
    </row>
    <row r="582" spans="1:26" x14ac:dyDescent="0.3">
      <c r="A582" t="s">
        <v>581</v>
      </c>
      <c r="B582" t="s">
        <v>2556</v>
      </c>
      <c r="C582" t="s">
        <v>2557</v>
      </c>
      <c r="D582" t="s">
        <v>1014</v>
      </c>
      <c r="E582" t="s">
        <v>1028</v>
      </c>
      <c r="F582" t="s">
        <v>2558</v>
      </c>
      <c r="G582" t="s">
        <v>2559</v>
      </c>
      <c r="H582" s="13">
        <v>78721</v>
      </c>
      <c r="I582" s="14">
        <v>10914980.130000001</v>
      </c>
      <c r="J582" t="s">
        <v>1061</v>
      </c>
      <c r="K582" s="10">
        <v>139.40316999999999</v>
      </c>
      <c r="S582" s="10">
        <v>109.56165830188669</v>
      </c>
      <c r="T582" s="10">
        <v>114.7205249999999</v>
      </c>
      <c r="U582" s="10">
        <v>120.55361173076921</v>
      </c>
      <c r="V582" s="10">
        <v>126.6844394230768</v>
      </c>
      <c r="W582" s="10">
        <v>131.8637111538462</v>
      </c>
      <c r="X582" s="10">
        <v>135.71332886792439</v>
      </c>
      <c r="Y582" s="10">
        <v>139.53924341463409</v>
      </c>
      <c r="Z582" s="11" t="str">
        <f t="shared" si="9"/>
        <v/>
      </c>
    </row>
    <row r="583" spans="1:26" x14ac:dyDescent="0.3">
      <c r="A583" t="s">
        <v>582</v>
      </c>
      <c r="B583" t="s">
        <v>2560</v>
      </c>
      <c r="C583" t="s">
        <v>2561</v>
      </c>
      <c r="D583" t="s">
        <v>1014</v>
      </c>
      <c r="E583" t="s">
        <v>1027</v>
      </c>
      <c r="F583" t="s">
        <v>2211</v>
      </c>
      <c r="G583" t="s">
        <v>2212</v>
      </c>
      <c r="H583" s="13">
        <v>301319</v>
      </c>
      <c r="I583" s="14">
        <v>10896518.789999999</v>
      </c>
      <c r="J583" t="s">
        <v>1052</v>
      </c>
      <c r="K583" s="10">
        <v>37.482300000000002</v>
      </c>
      <c r="O583" s="10">
        <v>18.38685000000001</v>
      </c>
      <c r="P583" s="10">
        <v>19.72705788461538</v>
      </c>
      <c r="Q583" s="10">
        <v>21.44988</v>
      </c>
      <c r="R583" s="10">
        <v>23.06561040816327</v>
      </c>
      <c r="S583" s="10">
        <v>25.6783720754717</v>
      </c>
      <c r="T583" s="10">
        <v>30.232810384615391</v>
      </c>
      <c r="U583" s="10">
        <v>32.889831730769203</v>
      </c>
      <c r="V583" s="10">
        <v>34.429283653846113</v>
      </c>
      <c r="W583" s="10">
        <v>35.185273076923067</v>
      </c>
      <c r="X583" s="10">
        <v>36.011893962264153</v>
      </c>
      <c r="Y583" s="10">
        <v>37.270386097560973</v>
      </c>
      <c r="Z583" s="11">
        <f t="shared" si="9"/>
        <v>0.56128076999999998</v>
      </c>
    </row>
    <row r="584" spans="1:26" x14ac:dyDescent="0.3">
      <c r="A584" t="s">
        <v>583</v>
      </c>
      <c r="B584" t="s">
        <v>2562</v>
      </c>
      <c r="C584" t="s">
        <v>2563</v>
      </c>
      <c r="D584" t="s">
        <v>1015</v>
      </c>
      <c r="E584" t="s">
        <v>1026</v>
      </c>
      <c r="F584" t="s">
        <v>2108</v>
      </c>
      <c r="G584" t="s">
        <v>2239</v>
      </c>
      <c r="H584" s="13">
        <v>29779344.800000001</v>
      </c>
      <c r="I584" s="14">
        <v>10854767.109999999</v>
      </c>
      <c r="J584" t="s">
        <v>1052</v>
      </c>
      <c r="K584" s="10">
        <v>7.8799999999999995E-2</v>
      </c>
      <c r="M584" s="10">
        <v>7.4017358490566024E-2</v>
      </c>
      <c r="N584" s="10">
        <v>6.6840576923076905E-2</v>
      </c>
      <c r="O584" s="10">
        <v>7.2148461538461536E-2</v>
      </c>
      <c r="P584" s="10">
        <v>6.7656153846153852E-2</v>
      </c>
      <c r="Q584" s="10">
        <v>6.2157499999999991E-2</v>
      </c>
      <c r="R584" s="10">
        <v>6.1826923076923078E-2</v>
      </c>
      <c r="S584" s="10">
        <v>6.4384150943396223E-2</v>
      </c>
      <c r="T584" s="10">
        <v>6.9934615384615387E-2</v>
      </c>
      <c r="U584" s="10">
        <v>7.2321730769230777E-2</v>
      </c>
      <c r="V584" s="10">
        <v>8.5259615384615364E-2</v>
      </c>
      <c r="W584" s="10">
        <v>9.4902692307692327E-2</v>
      </c>
      <c r="X584" s="10">
        <v>8.9857358490566086E-2</v>
      </c>
      <c r="Y584" s="10">
        <v>8.2103414634146388E-2</v>
      </c>
      <c r="Z584" s="11">
        <f t="shared" si="9"/>
        <v>0.45336940999999997</v>
      </c>
    </row>
    <row r="585" spans="1:26" x14ac:dyDescent="0.3">
      <c r="A585" t="s">
        <v>584</v>
      </c>
      <c r="B585" t="s">
        <v>2564</v>
      </c>
      <c r="C585" t="s">
        <v>2565</v>
      </c>
      <c r="D585" t="s">
        <v>1014</v>
      </c>
      <c r="E585" t="s">
        <v>1030</v>
      </c>
      <c r="F585" t="s">
        <v>2279</v>
      </c>
      <c r="G585" t="s">
        <v>2566</v>
      </c>
      <c r="H585" s="13">
        <v>81455</v>
      </c>
      <c r="I585" s="14">
        <v>10849740.550000001</v>
      </c>
      <c r="J585" t="s">
        <v>1052</v>
      </c>
      <c r="K585" s="10">
        <v>131.09388999999999</v>
      </c>
      <c r="M585" s="10">
        <v>105.44502528301879</v>
      </c>
      <c r="N585" s="10">
        <v>122.70586307692309</v>
      </c>
      <c r="O585" s="10">
        <v>140.58737346153839</v>
      </c>
      <c r="P585" s="10">
        <v>155.97224634615381</v>
      </c>
      <c r="Q585" s="10">
        <v>170.2643751923078</v>
      </c>
      <c r="R585" s="10">
        <v>186.48183499999979</v>
      </c>
      <c r="S585" s="10">
        <v>196.32456735849041</v>
      </c>
      <c r="T585" s="10">
        <v>206.4573282692306</v>
      </c>
      <c r="U585" s="10">
        <v>216.0077500000001</v>
      </c>
      <c r="V585" s="10">
        <v>226.8897824999998</v>
      </c>
      <c r="W585" s="10">
        <v>131.6653225</v>
      </c>
      <c r="X585" s="10">
        <v>131.26931999999999</v>
      </c>
      <c r="Y585" s="10">
        <v>131.06083536585359</v>
      </c>
      <c r="Z585" s="11">
        <f t="shared" si="9"/>
        <v>-0.29607449000000002</v>
      </c>
    </row>
    <row r="586" spans="1:26" x14ac:dyDescent="0.3">
      <c r="A586" t="s">
        <v>585</v>
      </c>
      <c r="B586" t="s">
        <v>2567</v>
      </c>
      <c r="C586" t="s">
        <v>2568</v>
      </c>
      <c r="D586" t="s">
        <v>1015</v>
      </c>
      <c r="E586" t="s">
        <v>1032</v>
      </c>
      <c r="F586" t="s">
        <v>1618</v>
      </c>
      <c r="G586" t="s">
        <v>2172</v>
      </c>
      <c r="H586" s="13">
        <v>62103581</v>
      </c>
      <c r="I586" s="14">
        <v>10841202.800000001</v>
      </c>
      <c r="J586" t="s">
        <v>1052</v>
      </c>
      <c r="K586" s="10">
        <v>6.1280000000000001E-2</v>
      </c>
      <c r="R586" s="10">
        <v>6.8173181818181827E-2</v>
      </c>
      <c r="S586" s="10">
        <v>6.7112830188679251E-2</v>
      </c>
      <c r="T586" s="10">
        <v>7.2133461538461549E-2</v>
      </c>
      <c r="U586" s="10">
        <v>7.0258076923076937E-2</v>
      </c>
      <c r="V586" s="10">
        <v>6.7502499999999979E-2</v>
      </c>
      <c r="W586" s="10">
        <v>6.244269230769231E-2</v>
      </c>
      <c r="X586" s="10">
        <v>6.4172452830188687E-2</v>
      </c>
      <c r="Y586" s="10">
        <v>6.3718048780487799E-2</v>
      </c>
      <c r="Z586" s="11">
        <f t="shared" si="9"/>
        <v>-5.8684790000000001E-2</v>
      </c>
    </row>
    <row r="587" spans="1:26" x14ac:dyDescent="0.3">
      <c r="A587" t="s">
        <v>586</v>
      </c>
      <c r="B587" t="s">
        <v>2569</v>
      </c>
      <c r="C587" t="s">
        <v>2570</v>
      </c>
      <c r="D587" t="s">
        <v>1014</v>
      </c>
      <c r="E587" t="s">
        <v>1022</v>
      </c>
      <c r="F587" t="s">
        <v>1106</v>
      </c>
      <c r="G587" t="s">
        <v>2571</v>
      </c>
      <c r="H587" s="13">
        <v>1163227</v>
      </c>
      <c r="I587" s="14">
        <v>10791413.15</v>
      </c>
      <c r="J587" t="s">
        <v>1052</v>
      </c>
      <c r="K587" s="10">
        <v>9.1364999999999998</v>
      </c>
      <c r="M587" s="10">
        <v>7.7186124528301887</v>
      </c>
      <c r="N587" s="10">
        <v>7.9795221153846114</v>
      </c>
      <c r="O587" s="10">
        <v>8.2011117307692309</v>
      </c>
      <c r="P587" s="10">
        <v>8.6960296153846102</v>
      </c>
      <c r="Q587" s="10">
        <v>8.6691255769230722</v>
      </c>
      <c r="R587" s="10">
        <v>8.6923557692307654</v>
      </c>
      <c r="S587" s="10">
        <v>8.9532945283018819</v>
      </c>
      <c r="T587" s="10">
        <v>9.2839321153846104</v>
      </c>
      <c r="U587" s="10">
        <v>9.2165992307692228</v>
      </c>
      <c r="V587" s="10">
        <v>9.2128634615384684</v>
      </c>
      <c r="W587" s="10">
        <v>9.1775217307692305</v>
      </c>
      <c r="X587" s="10">
        <v>9.1753356603773604</v>
      </c>
      <c r="Y587" s="10">
        <v>9.1408563414634134</v>
      </c>
      <c r="Z587" s="11">
        <f t="shared" si="9"/>
        <v>5.5563750000000002E-2</v>
      </c>
    </row>
    <row r="588" spans="1:26" x14ac:dyDescent="0.3">
      <c r="A588" t="s">
        <v>587</v>
      </c>
      <c r="B588" t="s">
        <v>2572</v>
      </c>
      <c r="C588" t="s">
        <v>2407</v>
      </c>
      <c r="D588" t="s">
        <v>1015</v>
      </c>
      <c r="E588" t="s">
        <v>1032</v>
      </c>
      <c r="F588" t="s">
        <v>2573</v>
      </c>
      <c r="G588" t="s">
        <v>2408</v>
      </c>
      <c r="H588" s="13">
        <v>13103437.4</v>
      </c>
      <c r="I588" s="14">
        <v>10790790.789999999</v>
      </c>
      <c r="J588" t="s">
        <v>1061</v>
      </c>
      <c r="K588" s="10">
        <v>0.67608000000000001</v>
      </c>
      <c r="P588" s="10">
        <v>1.8631367999999999</v>
      </c>
      <c r="Q588" s="10">
        <v>1.2535646153846149</v>
      </c>
      <c r="R588" s="10">
        <v>0.93183615384615404</v>
      </c>
      <c r="S588" s="10">
        <v>0.82030490566037706</v>
      </c>
      <c r="T588" s="10">
        <v>0.72369442307692333</v>
      </c>
      <c r="U588" s="10">
        <v>0.54206038461538486</v>
      </c>
      <c r="V588" s="10">
        <v>0.62343230769230762</v>
      </c>
      <c r="W588" s="10">
        <v>0.68352557692307703</v>
      </c>
      <c r="X588" s="10">
        <v>0.8320286792452829</v>
      </c>
      <c r="Y588" s="10">
        <v>0.71572853658536595</v>
      </c>
      <c r="Z588" s="11">
        <f t="shared" si="9"/>
        <v>-0.10710839</v>
      </c>
    </row>
    <row r="589" spans="1:26" x14ac:dyDescent="0.3">
      <c r="A589" t="s">
        <v>588</v>
      </c>
      <c r="B589" t="s">
        <v>2574</v>
      </c>
      <c r="C589" t="s">
        <v>2575</v>
      </c>
      <c r="D589" t="s">
        <v>1017</v>
      </c>
      <c r="E589" t="s">
        <v>1019</v>
      </c>
      <c r="F589" t="s">
        <v>1918</v>
      </c>
      <c r="G589" t="s">
        <v>2576</v>
      </c>
      <c r="H589" s="13">
        <v>420680</v>
      </c>
      <c r="I589" s="14">
        <v>10783695.73</v>
      </c>
      <c r="J589" t="s">
        <v>1061</v>
      </c>
      <c r="K589" s="10">
        <v>25.754560000000001</v>
      </c>
      <c r="W589" s="10">
        <v>25.983255</v>
      </c>
      <c r="X589" s="10">
        <v>25.88397264150943</v>
      </c>
      <c r="Y589" s="10">
        <v>25.803898536585368</v>
      </c>
      <c r="Z589" s="11" t="str">
        <f t="shared" si="9"/>
        <v/>
      </c>
    </row>
    <row r="590" spans="1:26" x14ac:dyDescent="0.3">
      <c r="A590" t="s">
        <v>589</v>
      </c>
      <c r="B590" t="s">
        <v>2577</v>
      </c>
      <c r="C590" t="s">
        <v>2578</v>
      </c>
      <c r="D590" t="s">
        <v>1014</v>
      </c>
      <c r="E590" t="s">
        <v>1032</v>
      </c>
      <c r="F590" t="s">
        <v>2554</v>
      </c>
      <c r="G590" t="s">
        <v>2555</v>
      </c>
      <c r="H590" s="13">
        <v>41747</v>
      </c>
      <c r="I590" s="14">
        <v>10756761.119999999</v>
      </c>
      <c r="J590" t="s">
        <v>1052</v>
      </c>
      <c r="K590" s="10">
        <v>253.49737999999999</v>
      </c>
      <c r="W590" s="10">
        <v>253.6631551923079</v>
      </c>
      <c r="X590" s="10">
        <v>253.47727584905661</v>
      </c>
      <c r="Y590" s="10">
        <v>253.49215609756101</v>
      </c>
      <c r="Z590" s="11" t="str">
        <f t="shared" si="9"/>
        <v/>
      </c>
    </row>
    <row r="591" spans="1:26" x14ac:dyDescent="0.3">
      <c r="A591" t="s">
        <v>590</v>
      </c>
      <c r="B591" t="s">
        <v>2579</v>
      </c>
      <c r="C591" t="s">
        <v>2580</v>
      </c>
      <c r="D591" t="s">
        <v>1014</v>
      </c>
      <c r="E591" t="s">
        <v>1030</v>
      </c>
      <c r="F591" t="s">
        <v>2279</v>
      </c>
      <c r="G591" t="s">
        <v>2280</v>
      </c>
      <c r="H591" s="13">
        <v>1945961</v>
      </c>
      <c r="I591" s="14">
        <v>10718054.619999999</v>
      </c>
      <c r="J591" t="s">
        <v>1052</v>
      </c>
      <c r="K591" s="10">
        <v>5.8746</v>
      </c>
      <c r="M591" s="10">
        <v>2.2006567924528322</v>
      </c>
      <c r="N591" s="10">
        <v>2.6233966666666668</v>
      </c>
      <c r="O591" s="10">
        <v>2.9537721153846159</v>
      </c>
      <c r="P591" s="10">
        <v>3.2163071153846179</v>
      </c>
      <c r="Q591" s="10">
        <v>3.520902692307692</v>
      </c>
      <c r="R591" s="10">
        <v>3.8625449999999968</v>
      </c>
      <c r="S591" s="10">
        <v>4.0566018867924516</v>
      </c>
      <c r="T591" s="10">
        <v>4.259498269230769</v>
      </c>
      <c r="U591" s="10">
        <v>4.4758500000000021</v>
      </c>
      <c r="V591" s="10">
        <v>4.6947438461538447</v>
      </c>
      <c r="W591" s="10">
        <v>5.1190465384615376</v>
      </c>
      <c r="X591" s="10">
        <v>5.4250316981132087</v>
      </c>
      <c r="Y591" s="10">
        <v>5.8840229268292692</v>
      </c>
      <c r="Z591" s="11">
        <f t="shared" si="9"/>
        <v>0.40452259000000002</v>
      </c>
    </row>
    <row r="592" spans="1:26" x14ac:dyDescent="0.3">
      <c r="A592" t="s">
        <v>591</v>
      </c>
      <c r="B592" t="s">
        <v>2581</v>
      </c>
      <c r="C592" t="s">
        <v>2042</v>
      </c>
      <c r="D592" t="s">
        <v>1015</v>
      </c>
      <c r="E592" t="s">
        <v>1032</v>
      </c>
      <c r="F592" t="s">
        <v>1618</v>
      </c>
      <c r="G592" t="s">
        <v>2582</v>
      </c>
      <c r="H592" s="13">
        <v>924869.16099999996</v>
      </c>
      <c r="I592" s="14">
        <v>10664724.380000001</v>
      </c>
      <c r="J592" t="s">
        <v>1061</v>
      </c>
      <c r="K592" s="10">
        <v>7.1238299999999999</v>
      </c>
      <c r="T592" s="10">
        <v>19.937064615384621</v>
      </c>
      <c r="U592" s="10">
        <v>18.900936346153841</v>
      </c>
      <c r="V592" s="10">
        <v>18.121123846153861</v>
      </c>
      <c r="W592" s="10">
        <v>14.81081615384616</v>
      </c>
      <c r="X592" s="10">
        <v>11.20763679245283</v>
      </c>
      <c r="Y592" s="10">
        <v>7.7088799999999997</v>
      </c>
      <c r="Z592" s="11" t="str">
        <f t="shared" si="9"/>
        <v/>
      </c>
    </row>
    <row r="593" spans="1:26" x14ac:dyDescent="0.3">
      <c r="A593" t="s">
        <v>592</v>
      </c>
      <c r="B593" t="s">
        <v>2583</v>
      </c>
      <c r="C593" t="s">
        <v>1752</v>
      </c>
      <c r="D593" t="s">
        <v>1015</v>
      </c>
      <c r="E593" t="s">
        <v>1030</v>
      </c>
      <c r="F593" t="s">
        <v>2584</v>
      </c>
      <c r="G593" t="s">
        <v>1619</v>
      </c>
      <c r="H593" s="13">
        <v>5510890.2249999996</v>
      </c>
      <c r="I593" s="14">
        <v>10606343.15</v>
      </c>
      <c r="J593" t="s">
        <v>1052</v>
      </c>
      <c r="K593" s="10">
        <v>0.66281999999999996</v>
      </c>
      <c r="R593" s="10">
        <v>1.697968974358975</v>
      </c>
      <c r="S593" s="10">
        <v>1.4143775471698119</v>
      </c>
      <c r="T593" s="10">
        <v>1.1059600000000001</v>
      </c>
      <c r="U593" s="10">
        <v>1.0268371153846161</v>
      </c>
      <c r="V593" s="10">
        <v>0.99031288461538469</v>
      </c>
      <c r="W593" s="10">
        <v>0.87680134615384575</v>
      </c>
      <c r="X593" s="10">
        <v>0.72262188679245276</v>
      </c>
      <c r="Y593" s="10">
        <v>0.66755682926829296</v>
      </c>
      <c r="Z593" s="11">
        <f t="shared" si="9"/>
        <v>-0.57441984999999995</v>
      </c>
    </row>
    <row r="594" spans="1:26" x14ac:dyDescent="0.3">
      <c r="A594" t="s">
        <v>593</v>
      </c>
      <c r="B594" t="s">
        <v>2585</v>
      </c>
      <c r="C594" t="s">
        <v>2586</v>
      </c>
      <c r="D594" t="s">
        <v>1015</v>
      </c>
      <c r="E594" t="s">
        <v>1027</v>
      </c>
      <c r="F594" t="s">
        <v>2049</v>
      </c>
      <c r="G594" t="s">
        <v>2587</v>
      </c>
      <c r="H594" s="13">
        <v>1241015.094</v>
      </c>
      <c r="I594" s="14">
        <v>10578550.369999999</v>
      </c>
      <c r="J594" t="s">
        <v>1163</v>
      </c>
      <c r="K594" s="10">
        <v>7.11754</v>
      </c>
      <c r="W594" s="10">
        <v>8.5051494594594548</v>
      </c>
      <c r="X594" s="10">
        <v>7.7735954716981137</v>
      </c>
      <c r="Y594" s="10">
        <v>6.757829756097566</v>
      </c>
      <c r="Z594" s="11" t="str">
        <f t="shared" si="9"/>
        <v/>
      </c>
    </row>
    <row r="595" spans="1:26" x14ac:dyDescent="0.3">
      <c r="A595" t="s">
        <v>594</v>
      </c>
      <c r="B595" t="s">
        <v>2588</v>
      </c>
      <c r="C595" t="s">
        <v>2589</v>
      </c>
      <c r="D595" t="s">
        <v>1014</v>
      </c>
      <c r="E595" t="s">
        <v>1027</v>
      </c>
      <c r="F595" t="s">
        <v>1305</v>
      </c>
      <c r="G595" t="s">
        <v>2590</v>
      </c>
      <c r="H595" s="13">
        <v>698619</v>
      </c>
      <c r="I595" s="14">
        <v>10466780.369999999</v>
      </c>
      <c r="J595" t="s">
        <v>1052</v>
      </c>
      <c r="K595" s="10">
        <v>15.20528</v>
      </c>
      <c r="N595" s="10">
        <v>8.4753608108108143</v>
      </c>
      <c r="O595" s="10">
        <v>9.1308651923076916</v>
      </c>
      <c r="P595" s="10">
        <v>9.7908759615384682</v>
      </c>
      <c r="Q595" s="10">
        <v>10.59146807692307</v>
      </c>
      <c r="R595" s="10">
        <v>11.13187076923078</v>
      </c>
      <c r="S595" s="10">
        <v>11.677562075471689</v>
      </c>
      <c r="T595" s="10">
        <v>12.268232884615379</v>
      </c>
      <c r="U595" s="10">
        <v>12.860122499999999</v>
      </c>
      <c r="V595" s="10">
        <v>13.483439423076909</v>
      </c>
      <c r="W595" s="10">
        <v>14.162306346153841</v>
      </c>
      <c r="X595" s="10">
        <v>14.8408616981132</v>
      </c>
      <c r="Y595" s="10">
        <v>15.20169585365853</v>
      </c>
      <c r="Z595" s="11">
        <f t="shared" si="9"/>
        <v>0.33318667000000002</v>
      </c>
    </row>
    <row r="596" spans="1:26" x14ac:dyDescent="0.3">
      <c r="A596" t="s">
        <v>595</v>
      </c>
      <c r="B596" t="s">
        <v>2591</v>
      </c>
      <c r="C596" t="s">
        <v>2465</v>
      </c>
      <c r="D596" t="s">
        <v>1015</v>
      </c>
      <c r="E596" t="s">
        <v>1022</v>
      </c>
      <c r="F596" t="s">
        <v>2039</v>
      </c>
      <c r="G596" t="s">
        <v>2283</v>
      </c>
      <c r="H596" s="13">
        <v>44851120.699000001</v>
      </c>
      <c r="I596" s="14">
        <v>10462320.949999999</v>
      </c>
      <c r="J596" t="s">
        <v>1052</v>
      </c>
      <c r="K596" s="10">
        <v>2.945E-2</v>
      </c>
      <c r="P596" s="10">
        <v>4.5507884615384617E-2</v>
      </c>
      <c r="Q596" s="10">
        <v>4.4228076923076919E-2</v>
      </c>
      <c r="R596" s="10">
        <v>4.0889038461538477E-2</v>
      </c>
      <c r="S596" s="10">
        <v>4.1536603773584903E-2</v>
      </c>
      <c r="T596" s="10">
        <v>3.9119615384615378E-2</v>
      </c>
      <c r="U596" s="10">
        <v>3.4736538461538437E-2</v>
      </c>
      <c r="V596" s="10">
        <v>3.341269230769231E-2</v>
      </c>
      <c r="W596" s="10">
        <v>3.3658846153846171E-2</v>
      </c>
      <c r="X596" s="10">
        <v>3.1964528301886792E-2</v>
      </c>
      <c r="Y596" s="10">
        <v>2.8661707317073161E-2</v>
      </c>
      <c r="Z596" s="11">
        <f t="shared" si="9"/>
        <v>-0.21826168000000001</v>
      </c>
    </row>
    <row r="597" spans="1:26" x14ac:dyDescent="0.3">
      <c r="A597" t="s">
        <v>596</v>
      </c>
      <c r="B597" t="s">
        <v>2592</v>
      </c>
      <c r="C597" t="s">
        <v>1117</v>
      </c>
      <c r="D597" t="s">
        <v>1014</v>
      </c>
      <c r="E597" t="s">
        <v>1026</v>
      </c>
      <c r="F597" t="s">
        <v>1055</v>
      </c>
      <c r="G597" t="s">
        <v>1118</v>
      </c>
      <c r="H597" s="13">
        <v>68712</v>
      </c>
      <c r="I597" s="14">
        <v>10451747</v>
      </c>
      <c r="J597" t="s">
        <v>1052</v>
      </c>
      <c r="K597" s="10">
        <v>152.98338000000001</v>
      </c>
      <c r="U597" s="10">
        <v>152.79</v>
      </c>
      <c r="V597" s="10">
        <v>152.6857430769231</v>
      </c>
      <c r="W597" s="10">
        <v>152.6456190384616</v>
      </c>
      <c r="X597" s="10">
        <v>152.8022220754718</v>
      </c>
      <c r="Y597" s="10">
        <v>152.97102975609761</v>
      </c>
      <c r="Z597" s="11" t="str">
        <f t="shared" si="9"/>
        <v/>
      </c>
    </row>
    <row r="598" spans="1:26" x14ac:dyDescent="0.3">
      <c r="A598" t="s">
        <v>597</v>
      </c>
      <c r="B598" t="s">
        <v>2593</v>
      </c>
      <c r="C598" t="s">
        <v>2594</v>
      </c>
      <c r="D598" t="s">
        <v>1014</v>
      </c>
      <c r="E598" t="s">
        <v>1027</v>
      </c>
      <c r="F598" t="s">
        <v>2595</v>
      </c>
      <c r="G598" t="s">
        <v>2596</v>
      </c>
      <c r="H598" s="13">
        <v>130808</v>
      </c>
      <c r="I598" s="14">
        <v>10431575.33</v>
      </c>
      <c r="J598" t="s">
        <v>1052</v>
      </c>
      <c r="K598" s="10">
        <v>80.349440000000001</v>
      </c>
      <c r="M598" s="10">
        <v>35.839746415094339</v>
      </c>
      <c r="N598" s="10">
        <v>38.598484999999989</v>
      </c>
      <c r="O598" s="10">
        <v>41.422803846153847</v>
      </c>
      <c r="P598" s="10">
        <v>45.007959999999997</v>
      </c>
      <c r="Q598" s="10">
        <v>46.873662307692328</v>
      </c>
      <c r="R598" s="10">
        <v>53.568687692307677</v>
      </c>
      <c r="S598" s="10">
        <v>57.129629245282999</v>
      </c>
      <c r="T598" s="10">
        <v>62.467439807692386</v>
      </c>
      <c r="U598" s="10">
        <v>68.338763269230782</v>
      </c>
      <c r="V598" s="10">
        <v>68.329110285714322</v>
      </c>
      <c r="W598" s="10">
        <v>73.699902692307646</v>
      </c>
      <c r="X598" s="10">
        <v>80.520139433962257</v>
      </c>
      <c r="Y598" s="10">
        <v>80.37723487804881</v>
      </c>
      <c r="Z598" s="11">
        <f t="shared" si="9"/>
        <v>0.50311950999999999</v>
      </c>
    </row>
    <row r="599" spans="1:26" x14ac:dyDescent="0.3">
      <c r="A599" t="s">
        <v>598</v>
      </c>
      <c r="B599" t="s">
        <v>2597</v>
      </c>
      <c r="C599" t="s">
        <v>2568</v>
      </c>
      <c r="D599" t="s">
        <v>1015</v>
      </c>
      <c r="E599" t="s">
        <v>1032</v>
      </c>
      <c r="F599" t="s">
        <v>2234</v>
      </c>
      <c r="G599" t="s">
        <v>2172</v>
      </c>
      <c r="H599" s="13">
        <v>76887599</v>
      </c>
      <c r="I599" s="14">
        <v>10399236.24</v>
      </c>
      <c r="J599" t="s">
        <v>1052</v>
      </c>
      <c r="K599" s="10">
        <v>6.1280000000000001E-2</v>
      </c>
      <c r="M599" s="10">
        <v>8.6610377358490587E-2</v>
      </c>
      <c r="N599" s="10">
        <v>8.3689807692307661E-2</v>
      </c>
      <c r="O599" s="10">
        <v>8.2932115384615354E-2</v>
      </c>
      <c r="P599" s="10">
        <v>7.236999999999999E-2</v>
      </c>
      <c r="Q599" s="10">
        <v>7.3964038461538442E-2</v>
      </c>
      <c r="R599" s="10">
        <v>7.0772499999999988E-2</v>
      </c>
      <c r="S599" s="10">
        <v>6.7112830188679237E-2</v>
      </c>
      <c r="T599" s="10">
        <v>7.2133461538461563E-2</v>
      </c>
      <c r="U599" s="10">
        <v>7.0258076923076937E-2</v>
      </c>
      <c r="V599" s="10">
        <v>6.7502499999999979E-2</v>
      </c>
      <c r="W599" s="10">
        <v>6.244269230769231E-2</v>
      </c>
      <c r="X599" s="10">
        <v>6.4172452830188687E-2</v>
      </c>
      <c r="Y599" s="10">
        <v>6.3718048780487799E-2</v>
      </c>
      <c r="Z599" s="11">
        <f t="shared" si="9"/>
        <v>-9.3257229999999997E-2</v>
      </c>
    </row>
    <row r="600" spans="1:26" x14ac:dyDescent="0.3">
      <c r="A600" t="s">
        <v>599</v>
      </c>
      <c r="B600" t="s">
        <v>2598</v>
      </c>
      <c r="C600" t="s">
        <v>2599</v>
      </c>
      <c r="D600" t="s">
        <v>1015</v>
      </c>
      <c r="E600" t="s">
        <v>1032</v>
      </c>
      <c r="F600" t="s">
        <v>1382</v>
      </c>
      <c r="G600" t="s">
        <v>2408</v>
      </c>
      <c r="H600" s="13">
        <v>2839474</v>
      </c>
      <c r="I600" s="14">
        <v>10361384.57</v>
      </c>
      <c r="J600" t="s">
        <v>1061</v>
      </c>
      <c r="K600" s="10">
        <v>3.4273699999999998</v>
      </c>
      <c r="O600" s="10">
        <v>9.0341135000000001</v>
      </c>
      <c r="P600" s="10">
        <v>7.7522365384615366</v>
      </c>
      <c r="Q600" s="10">
        <v>5.9559436538461528</v>
      </c>
      <c r="R600" s="10">
        <v>4.565781538461537</v>
      </c>
      <c r="S600" s="10">
        <v>4.4175281132075463</v>
      </c>
      <c r="T600" s="10">
        <v>4.0284998076923069</v>
      </c>
      <c r="U600" s="10">
        <v>3.666945384615385</v>
      </c>
      <c r="V600" s="10">
        <v>3.4657086538461539</v>
      </c>
      <c r="W600" s="10">
        <v>3.4513707692307709</v>
      </c>
      <c r="X600" s="10">
        <v>4.000091509433962</v>
      </c>
      <c r="Y600" s="10">
        <v>3.738408536585367</v>
      </c>
      <c r="Z600" s="11">
        <f t="shared" si="9"/>
        <v>-0.12389774000000001</v>
      </c>
    </row>
    <row r="601" spans="1:26" x14ac:dyDescent="0.3">
      <c r="A601" t="s">
        <v>600</v>
      </c>
      <c r="B601" t="s">
        <v>2600</v>
      </c>
      <c r="C601" t="s">
        <v>2601</v>
      </c>
      <c r="D601" t="s">
        <v>1014</v>
      </c>
      <c r="E601" t="s">
        <v>1022</v>
      </c>
      <c r="F601" t="s">
        <v>2602</v>
      </c>
      <c r="G601" t="s">
        <v>2603</v>
      </c>
      <c r="H601" s="13">
        <v>896493</v>
      </c>
      <c r="I601" s="14">
        <v>10269119.77</v>
      </c>
      <c r="J601" t="s">
        <v>1052</v>
      </c>
      <c r="K601" s="10">
        <v>12.772869999999999</v>
      </c>
      <c r="N601" s="10">
        <v>4.0914121621621629</v>
      </c>
      <c r="O601" s="10">
        <v>4.8730753846153867</v>
      </c>
      <c r="P601" s="10">
        <v>5.6476182692307706</v>
      </c>
      <c r="Q601" s="10">
        <v>6.5041273076923067</v>
      </c>
      <c r="R601" s="10">
        <v>7.4852246153846176</v>
      </c>
      <c r="S601" s="10">
        <v>8.6469194339622675</v>
      </c>
      <c r="T601" s="10">
        <v>9.526700769230775</v>
      </c>
      <c r="U601" s="10">
        <v>10.36300076923078</v>
      </c>
      <c r="V601" s="10">
        <v>11.41760326923078</v>
      </c>
      <c r="W601" s="10">
        <v>12.082711538461529</v>
      </c>
      <c r="X601" s="10">
        <v>12.430277924528291</v>
      </c>
      <c r="Y601" s="10">
        <v>12.760585365853659</v>
      </c>
      <c r="Z601" s="11">
        <f t="shared" si="9"/>
        <v>0.66064193999999998</v>
      </c>
    </row>
    <row r="602" spans="1:26" x14ac:dyDescent="0.3">
      <c r="A602" t="s">
        <v>601</v>
      </c>
      <c r="B602" t="s">
        <v>2604</v>
      </c>
      <c r="C602" t="s">
        <v>2605</v>
      </c>
      <c r="D602" t="s">
        <v>1015</v>
      </c>
      <c r="E602" t="s">
        <v>1032</v>
      </c>
      <c r="F602" t="s">
        <v>1608</v>
      </c>
      <c r="G602" t="s">
        <v>2606</v>
      </c>
      <c r="H602" s="13">
        <v>6264712.4620000003</v>
      </c>
      <c r="I602" s="14">
        <v>10136531.689999999</v>
      </c>
      <c r="J602" t="s">
        <v>1052</v>
      </c>
      <c r="K602" s="10">
        <v>1.2451399999999999</v>
      </c>
      <c r="T602" s="10">
        <v>2.3687821212121221</v>
      </c>
      <c r="U602" s="10">
        <v>1.8387369230769219</v>
      </c>
      <c r="V602" s="10">
        <v>1.566356730769231</v>
      </c>
      <c r="W602" s="10">
        <v>1.3813263461538461</v>
      </c>
      <c r="X602" s="10">
        <v>1.381329622641509</v>
      </c>
      <c r="Y602" s="10">
        <v>1.3141860975609749</v>
      </c>
      <c r="Z602" s="11" t="str">
        <f t="shared" si="9"/>
        <v/>
      </c>
    </row>
    <row r="603" spans="1:26" x14ac:dyDescent="0.3">
      <c r="A603" t="s">
        <v>602</v>
      </c>
      <c r="B603" t="s">
        <v>2607</v>
      </c>
      <c r="C603" t="s">
        <v>2465</v>
      </c>
      <c r="D603" t="s">
        <v>1015</v>
      </c>
      <c r="E603" t="s">
        <v>1022</v>
      </c>
      <c r="F603" t="s">
        <v>2608</v>
      </c>
      <c r="G603" t="s">
        <v>2283</v>
      </c>
      <c r="H603" s="13">
        <v>49049486.295000002</v>
      </c>
      <c r="I603" s="14">
        <v>10109174.09</v>
      </c>
      <c r="J603" t="s">
        <v>1052</v>
      </c>
      <c r="K603" s="10">
        <v>2.945E-2</v>
      </c>
      <c r="T603" s="10">
        <v>3.834027027027026E-2</v>
      </c>
      <c r="U603" s="10">
        <v>3.4736538461538437E-2</v>
      </c>
      <c r="V603" s="10">
        <v>3.341269230769231E-2</v>
      </c>
      <c r="W603" s="10">
        <v>3.3658846153846171E-2</v>
      </c>
      <c r="X603" s="10">
        <v>3.1964528301886792E-2</v>
      </c>
      <c r="Y603" s="10">
        <v>2.8661707317073161E-2</v>
      </c>
      <c r="Z603" s="11" t="str">
        <f t="shared" si="9"/>
        <v/>
      </c>
    </row>
    <row r="604" spans="1:26" x14ac:dyDescent="0.3">
      <c r="A604" t="s">
        <v>603</v>
      </c>
      <c r="B604" t="s">
        <v>2609</v>
      </c>
      <c r="C604" t="s">
        <v>2610</v>
      </c>
      <c r="D604" t="s">
        <v>1015</v>
      </c>
      <c r="E604" t="s">
        <v>1032</v>
      </c>
      <c r="F604" t="s">
        <v>1363</v>
      </c>
      <c r="G604" t="s">
        <v>2611</v>
      </c>
      <c r="H604" s="13">
        <v>1824858</v>
      </c>
      <c r="I604" s="14">
        <v>10100882.73</v>
      </c>
      <c r="J604" t="s">
        <v>1052</v>
      </c>
      <c r="K604" s="10">
        <v>4.9549500000000002</v>
      </c>
      <c r="X604" s="10">
        <v>4.8285006896551712</v>
      </c>
      <c r="Y604" s="10">
        <v>4.924220975609753</v>
      </c>
      <c r="Z604" s="11" t="str">
        <f t="shared" si="9"/>
        <v/>
      </c>
    </row>
    <row r="605" spans="1:26" x14ac:dyDescent="0.3">
      <c r="A605" t="s">
        <v>604</v>
      </c>
      <c r="B605" t="s">
        <v>2612</v>
      </c>
      <c r="C605" t="s">
        <v>2613</v>
      </c>
      <c r="D605" t="s">
        <v>1014</v>
      </c>
      <c r="E605" t="s">
        <v>1705</v>
      </c>
      <c r="F605" t="s">
        <v>1055</v>
      </c>
      <c r="G605" t="s">
        <v>2614</v>
      </c>
      <c r="H605" s="13">
        <v>9108278.4130000006</v>
      </c>
      <c r="I605" s="14">
        <v>10077128.619999999</v>
      </c>
      <c r="J605" t="s">
        <v>1061</v>
      </c>
      <c r="K605" s="10">
        <v>0.55781000000000003</v>
      </c>
      <c r="M605" s="10">
        <v>0.49273000000000028</v>
      </c>
      <c r="N605" s="10">
        <v>0.51419846153846172</v>
      </c>
      <c r="O605" s="10">
        <v>0.51452211538461501</v>
      </c>
      <c r="P605" s="10">
        <v>0.52929038461538491</v>
      </c>
      <c r="Q605" s="10">
        <v>0.52712153846153809</v>
      </c>
      <c r="R605" s="10">
        <v>0.53211403846153815</v>
      </c>
      <c r="S605" s="10">
        <v>0.54018999999999961</v>
      </c>
      <c r="X605" s="10">
        <v>0.55733679245283041</v>
      </c>
      <c r="Y605" s="10">
        <v>0.55856707317073151</v>
      </c>
      <c r="Z605" s="11">
        <f t="shared" si="9"/>
        <v>4.7401029999999997E-2</v>
      </c>
    </row>
    <row r="606" spans="1:26" x14ac:dyDescent="0.3">
      <c r="A606" t="s">
        <v>605</v>
      </c>
      <c r="B606" t="s">
        <v>2615</v>
      </c>
      <c r="C606" t="s">
        <v>2616</v>
      </c>
      <c r="D606" t="s">
        <v>1015</v>
      </c>
      <c r="E606" t="s">
        <v>1027</v>
      </c>
      <c r="F606" t="s">
        <v>1382</v>
      </c>
      <c r="G606" t="s">
        <v>2617</v>
      </c>
      <c r="H606" s="13">
        <v>21519188.25</v>
      </c>
      <c r="I606" s="14">
        <v>10044206.27</v>
      </c>
      <c r="J606" t="s">
        <v>1052</v>
      </c>
      <c r="K606" s="10">
        <v>0.29009000000000001</v>
      </c>
      <c r="M606" s="10">
        <v>0.91779660377358474</v>
      </c>
      <c r="N606" s="10">
        <v>0.76277788461538465</v>
      </c>
      <c r="O606" s="10">
        <v>0.60694865384615371</v>
      </c>
      <c r="P606" s="10">
        <v>0.48582576923076898</v>
      </c>
      <c r="Q606" s="10">
        <v>0.49330000000000013</v>
      </c>
      <c r="R606" s="10">
        <v>0.43627749999999998</v>
      </c>
      <c r="S606" s="10">
        <v>0.40578018867924509</v>
      </c>
      <c r="T606" s="10">
        <v>0.35513769230769221</v>
      </c>
      <c r="U606" s="10">
        <v>0.30684269230769251</v>
      </c>
      <c r="V606" s="10">
        <v>0.3249128846153847</v>
      </c>
      <c r="W606" s="10">
        <v>0.31067038461538471</v>
      </c>
      <c r="X606" s="10">
        <v>0.33062735849056618</v>
      </c>
      <c r="Y606" s="10">
        <v>0.30488292682926821</v>
      </c>
      <c r="Z606" s="11">
        <f t="shared" si="9"/>
        <v>-0.24216271</v>
      </c>
    </row>
    <row r="607" spans="1:26" x14ac:dyDescent="0.3">
      <c r="A607" t="s">
        <v>606</v>
      </c>
      <c r="B607" t="s">
        <v>2618</v>
      </c>
      <c r="C607" t="s">
        <v>2619</v>
      </c>
      <c r="D607" t="s">
        <v>1014</v>
      </c>
      <c r="E607" t="s">
        <v>1022</v>
      </c>
      <c r="F607" t="s">
        <v>1270</v>
      </c>
      <c r="G607" t="s">
        <v>2620</v>
      </c>
      <c r="H607" s="13">
        <v>562188</v>
      </c>
      <c r="I607" s="14">
        <v>9951883.4299999997</v>
      </c>
      <c r="J607" t="s">
        <v>1052</v>
      </c>
      <c r="K607" s="10">
        <v>17.751180000000002</v>
      </c>
      <c r="R607" s="10">
        <v>13.663</v>
      </c>
      <c r="S607" s="10">
        <v>14.013794528301901</v>
      </c>
      <c r="T607" s="10">
        <v>14.818586730769219</v>
      </c>
      <c r="U607" s="10">
        <v>15.56989865384614</v>
      </c>
      <c r="V607" s="10">
        <v>16.18881115384616</v>
      </c>
      <c r="W607" s="10">
        <v>16.985161730769239</v>
      </c>
      <c r="X607" s="10">
        <v>17.798591886792451</v>
      </c>
      <c r="Y607" s="10">
        <v>17.788210487804871</v>
      </c>
      <c r="Z607" s="11">
        <f t="shared" si="9"/>
        <v>0.30268549</v>
      </c>
    </row>
    <row r="608" spans="1:26" x14ac:dyDescent="0.3">
      <c r="A608" t="s">
        <v>607</v>
      </c>
      <c r="B608" t="s">
        <v>2621</v>
      </c>
      <c r="C608" t="s">
        <v>2622</v>
      </c>
      <c r="D608" t="s">
        <v>1015</v>
      </c>
      <c r="E608" t="s">
        <v>1018</v>
      </c>
      <c r="F608" t="s">
        <v>1837</v>
      </c>
      <c r="G608" t="s">
        <v>2623</v>
      </c>
      <c r="H608" s="13">
        <v>243296</v>
      </c>
      <c r="I608" s="14">
        <v>9830688.1300000008</v>
      </c>
      <c r="J608" t="s">
        <v>1052</v>
      </c>
      <c r="K608" s="10">
        <v>8.0245300000000004</v>
      </c>
      <c r="Y608" s="10">
        <v>8.4401304878048826</v>
      </c>
      <c r="Z608" s="11" t="str">
        <f t="shared" si="9"/>
        <v/>
      </c>
    </row>
    <row r="609" spans="1:26" x14ac:dyDescent="0.3">
      <c r="A609" t="s">
        <v>608</v>
      </c>
      <c r="B609" t="s">
        <v>2624</v>
      </c>
      <c r="C609" t="s">
        <v>2381</v>
      </c>
      <c r="D609" t="s">
        <v>1015</v>
      </c>
      <c r="E609" t="s">
        <v>1030</v>
      </c>
      <c r="F609" t="s">
        <v>2082</v>
      </c>
      <c r="G609" t="s">
        <v>2201</v>
      </c>
      <c r="H609" s="13">
        <v>37573361.5</v>
      </c>
      <c r="I609" s="14">
        <v>9823867.4299999997</v>
      </c>
      <c r="J609" t="s">
        <v>1052</v>
      </c>
      <c r="K609" s="10">
        <v>4.7199999999999999E-2</v>
      </c>
      <c r="R609" s="10">
        <v>5.8261923076923093E-2</v>
      </c>
      <c r="S609" s="10">
        <v>6.598943396226413E-2</v>
      </c>
      <c r="T609" s="10">
        <v>6.1310769230769217E-2</v>
      </c>
      <c r="U609" s="10">
        <v>5.7104423076923053E-2</v>
      </c>
      <c r="V609" s="10">
        <v>5.4727884615384609E-2</v>
      </c>
      <c r="W609" s="10">
        <v>5.0229615384615393E-2</v>
      </c>
      <c r="X609" s="10">
        <v>4.8563962264150953E-2</v>
      </c>
      <c r="Y609" s="10">
        <v>4.4645609756097562E-2</v>
      </c>
      <c r="Z609" s="11">
        <f t="shared" si="9"/>
        <v>-0.16645452999999999</v>
      </c>
    </row>
    <row r="610" spans="1:26" x14ac:dyDescent="0.3">
      <c r="A610" t="s">
        <v>609</v>
      </c>
      <c r="B610" t="s">
        <v>2625</v>
      </c>
      <c r="C610" t="s">
        <v>2238</v>
      </c>
      <c r="D610" t="s">
        <v>1015</v>
      </c>
      <c r="E610" t="s">
        <v>1026</v>
      </c>
      <c r="F610" t="s">
        <v>2108</v>
      </c>
      <c r="G610" t="s">
        <v>2239</v>
      </c>
      <c r="H610" s="13">
        <v>113547045.745</v>
      </c>
      <c r="I610" s="14">
        <v>9799894.8499999996</v>
      </c>
      <c r="J610" t="s">
        <v>1061</v>
      </c>
      <c r="K610" s="10">
        <v>3.3829999999999999E-2</v>
      </c>
      <c r="M610" s="10">
        <v>2.478528301886794E-2</v>
      </c>
      <c r="N610" s="10">
        <v>2.4150384615384608E-2</v>
      </c>
      <c r="O610" s="10">
        <v>2.7514807692307668E-2</v>
      </c>
      <c r="P610" s="10">
        <v>2.329403846153847E-2</v>
      </c>
      <c r="Q610" s="10">
        <v>2.1822884615384609E-2</v>
      </c>
      <c r="R610" s="10">
        <v>2.085480769230769E-2</v>
      </c>
      <c r="S610" s="10">
        <v>2.1094716981132071E-2</v>
      </c>
      <c r="T610" s="10">
        <v>2.2304038461538458E-2</v>
      </c>
      <c r="U610" s="10">
        <v>2.3523846153846149E-2</v>
      </c>
      <c r="V610" s="10">
        <v>2.8309615384615391E-2</v>
      </c>
      <c r="W610" s="10">
        <v>3.194942307692307E-2</v>
      </c>
      <c r="X610" s="10">
        <v>3.3829433962264163E-2</v>
      </c>
      <c r="Y610" s="10">
        <v>3.4007317073170742E-2</v>
      </c>
      <c r="Z610" s="11">
        <f t="shared" si="9"/>
        <v>0.62214077999999995</v>
      </c>
    </row>
    <row r="611" spans="1:26" x14ac:dyDescent="0.3">
      <c r="A611" t="s">
        <v>610</v>
      </c>
      <c r="B611" t="s">
        <v>2626</v>
      </c>
      <c r="C611" t="s">
        <v>2627</v>
      </c>
      <c r="D611" t="s">
        <v>1014</v>
      </c>
      <c r="E611" t="s">
        <v>1027</v>
      </c>
      <c r="F611" t="s">
        <v>1068</v>
      </c>
      <c r="G611" t="s">
        <v>1904</v>
      </c>
      <c r="H611" s="13">
        <v>10919.120999999999</v>
      </c>
      <c r="I611" s="14">
        <v>9796384.0700000003</v>
      </c>
      <c r="J611" t="s">
        <v>1052</v>
      </c>
      <c r="K611" s="10">
        <v>949.93768999999998</v>
      </c>
      <c r="M611" s="10">
        <v>452.83854603773602</v>
      </c>
      <c r="N611" s="10">
        <v>509.09360538461522</v>
      </c>
      <c r="O611" s="10">
        <v>565.33083769230734</v>
      </c>
      <c r="P611" s="10">
        <v>609.97640096153862</v>
      </c>
      <c r="Q611" s="10">
        <v>652.41010211538435</v>
      </c>
      <c r="R611" s="10">
        <v>695.91999000000021</v>
      </c>
      <c r="S611" s="10">
        <v>728.42084792452795</v>
      </c>
      <c r="T611" s="10">
        <v>765.5928700000004</v>
      </c>
      <c r="U611" s="10">
        <v>798.93710500000066</v>
      </c>
      <c r="V611" s="10">
        <v>847.37696346153871</v>
      </c>
      <c r="W611" s="10">
        <v>884.23038288461532</v>
      </c>
      <c r="X611" s="10">
        <v>927.77407566037709</v>
      </c>
      <c r="Y611" s="10">
        <v>952.74125560975619</v>
      </c>
      <c r="Z611" s="11">
        <f t="shared" si="9"/>
        <v>0.33316199000000002</v>
      </c>
    </row>
    <row r="612" spans="1:26" x14ac:dyDescent="0.3">
      <c r="A612" t="s">
        <v>611</v>
      </c>
      <c r="B612" t="s">
        <v>2628</v>
      </c>
      <c r="C612" t="s">
        <v>2629</v>
      </c>
      <c r="D612" t="s">
        <v>1015</v>
      </c>
      <c r="E612" t="s">
        <v>1025</v>
      </c>
      <c r="F612" t="s">
        <v>1843</v>
      </c>
      <c r="G612" t="s">
        <v>2630</v>
      </c>
      <c r="H612" s="13">
        <v>1676752</v>
      </c>
      <c r="I612" s="14">
        <v>9790810.4399999995</v>
      </c>
      <c r="J612" t="s">
        <v>1061</v>
      </c>
      <c r="K612" s="10">
        <v>5.0895200000000003</v>
      </c>
      <c r="M612" s="10">
        <v>1.9142015094339631</v>
      </c>
      <c r="N612" s="10">
        <v>2.7068513461538459</v>
      </c>
      <c r="O612" s="10">
        <v>5.661605576923078</v>
      </c>
      <c r="P612" s="10">
        <v>5.2194526923076916</v>
      </c>
      <c r="Q612" s="10">
        <v>5.5202028846153857</v>
      </c>
      <c r="R612" s="10">
        <v>5.3108192307692308</v>
      </c>
      <c r="S612" s="10">
        <v>6.0616720754716953</v>
      </c>
      <c r="T612" s="10">
        <v>5.9850915384615408</v>
      </c>
      <c r="U612" s="10">
        <v>5.5777644230769221</v>
      </c>
      <c r="V612" s="10">
        <v>4.6493590384615358</v>
      </c>
      <c r="W612" s="10">
        <v>4.8990575000000014</v>
      </c>
      <c r="X612" s="10">
        <v>5.2245469811320744</v>
      </c>
      <c r="Y612" s="10">
        <v>5.1866626829268307</v>
      </c>
      <c r="Z612" s="11">
        <f t="shared" si="9"/>
        <v>-1.6244620000000001E-2</v>
      </c>
    </row>
    <row r="613" spans="1:26" x14ac:dyDescent="0.3">
      <c r="A613" t="s">
        <v>612</v>
      </c>
      <c r="B613" t="s">
        <v>2631</v>
      </c>
      <c r="C613" t="s">
        <v>2632</v>
      </c>
      <c r="D613" t="s">
        <v>1015</v>
      </c>
      <c r="E613" t="s">
        <v>1023</v>
      </c>
      <c r="F613" t="s">
        <v>2633</v>
      </c>
      <c r="G613" t="s">
        <v>2634</v>
      </c>
      <c r="H613" s="13">
        <v>3037948.7</v>
      </c>
      <c r="I613" s="14">
        <v>9769384.9499999993</v>
      </c>
      <c r="J613" t="s">
        <v>1052</v>
      </c>
      <c r="K613" s="10">
        <v>0.52902000000000005</v>
      </c>
      <c r="T613" s="10">
        <v>4.8117573529411786</v>
      </c>
      <c r="U613" s="10">
        <v>0.67044749999999986</v>
      </c>
      <c r="V613" s="10">
        <v>0.57913173076923097</v>
      </c>
      <c r="W613" s="10">
        <v>0.5296980769230768</v>
      </c>
      <c r="X613" s="10">
        <v>0.57344188679245289</v>
      </c>
      <c r="Y613" s="10">
        <v>0.47900048780487792</v>
      </c>
      <c r="Z613" s="11" t="str">
        <f t="shared" si="9"/>
        <v/>
      </c>
    </row>
    <row r="614" spans="1:26" x14ac:dyDescent="0.3">
      <c r="A614" t="s">
        <v>613</v>
      </c>
      <c r="B614" t="s">
        <v>2635</v>
      </c>
      <c r="C614" t="s">
        <v>2636</v>
      </c>
      <c r="D614" t="s">
        <v>1014</v>
      </c>
      <c r="E614" t="s">
        <v>1032</v>
      </c>
      <c r="F614" t="s">
        <v>1496</v>
      </c>
      <c r="G614" t="s">
        <v>1497</v>
      </c>
      <c r="H614" s="13">
        <v>376252.4</v>
      </c>
      <c r="I614" s="14">
        <v>9739802.3399999999</v>
      </c>
      <c r="J614" t="s">
        <v>1163</v>
      </c>
      <c r="K614" s="10">
        <v>25.192789999999999</v>
      </c>
      <c r="U614" s="10">
        <v>24.115206923076901</v>
      </c>
      <c r="V614" s="10">
        <v>25.26506884615387</v>
      </c>
      <c r="W614" s="10">
        <v>25.220788076923078</v>
      </c>
      <c r="X614" s="10">
        <v>25.239505660377372</v>
      </c>
      <c r="Y614" s="10">
        <v>25.230159756097549</v>
      </c>
      <c r="Z614" s="11" t="str">
        <f t="shared" si="9"/>
        <v/>
      </c>
    </row>
    <row r="615" spans="1:26" x14ac:dyDescent="0.3">
      <c r="A615" t="s">
        <v>614</v>
      </c>
      <c r="B615" t="s">
        <v>2637</v>
      </c>
      <c r="C615" t="s">
        <v>2638</v>
      </c>
      <c r="D615" t="s">
        <v>1015</v>
      </c>
      <c r="E615" t="s">
        <v>1032</v>
      </c>
      <c r="F615" t="s">
        <v>2108</v>
      </c>
      <c r="G615" t="s">
        <v>2639</v>
      </c>
      <c r="H615" s="13">
        <v>17340985.502999999</v>
      </c>
      <c r="I615" s="14">
        <v>9717346.1600000001</v>
      </c>
      <c r="J615" t="s">
        <v>1061</v>
      </c>
      <c r="K615" s="10">
        <v>0.27283000000000002</v>
      </c>
      <c r="T615" s="10">
        <v>0.31139893617021291</v>
      </c>
      <c r="U615" s="10">
        <v>0.28933807692307711</v>
      </c>
      <c r="V615" s="10">
        <v>0.30861596153846149</v>
      </c>
      <c r="W615" s="10">
        <v>0.2710265384615384</v>
      </c>
      <c r="X615" s="10">
        <v>0.28404471698113198</v>
      </c>
      <c r="Y615" s="10">
        <v>0.28150097560975612</v>
      </c>
      <c r="Z615" s="11" t="str">
        <f t="shared" si="9"/>
        <v/>
      </c>
    </row>
    <row r="616" spans="1:26" x14ac:dyDescent="0.3">
      <c r="A616" t="s">
        <v>615</v>
      </c>
      <c r="B616" t="s">
        <v>2640</v>
      </c>
      <c r="C616" t="s">
        <v>2641</v>
      </c>
      <c r="D616" t="s">
        <v>1015</v>
      </c>
      <c r="E616" t="s">
        <v>1026</v>
      </c>
      <c r="F616" t="s">
        <v>1843</v>
      </c>
      <c r="G616" t="s">
        <v>2642</v>
      </c>
      <c r="H616" s="13">
        <v>2094925.415</v>
      </c>
      <c r="I616" s="14">
        <v>9716944.1500000004</v>
      </c>
      <c r="J616" t="s">
        <v>1163</v>
      </c>
      <c r="K616" s="10">
        <v>2.8265699999999998</v>
      </c>
      <c r="M616" s="10">
        <v>2.9093083018867931</v>
      </c>
      <c r="N616" s="10">
        <v>2.6451453846153852</v>
      </c>
      <c r="O616" s="10">
        <v>2.5665603846153831</v>
      </c>
      <c r="P616" s="10">
        <v>2.1164861538461528</v>
      </c>
      <c r="Q616" s="10">
        <v>1.997138846153846</v>
      </c>
      <c r="R616" s="10">
        <v>3.0181003846153849</v>
      </c>
      <c r="S616" s="10">
        <v>3.471054905660377</v>
      </c>
      <c r="T616" s="10">
        <v>3.39620846153846</v>
      </c>
      <c r="U616" s="10">
        <v>2.7721159615384612</v>
      </c>
      <c r="V616" s="10">
        <v>2.639324615384615</v>
      </c>
      <c r="W616" s="10">
        <v>2.7301928846153851</v>
      </c>
      <c r="X616" s="10">
        <v>2.8324852830188672</v>
      </c>
      <c r="Y616" s="10">
        <v>2.8800436585365858</v>
      </c>
      <c r="Z616" s="11">
        <f t="shared" si="9"/>
        <v>-6.1500640000000002E-2</v>
      </c>
    </row>
    <row r="617" spans="1:26" x14ac:dyDescent="0.3">
      <c r="A617" t="s">
        <v>616</v>
      </c>
      <c r="B617" t="s">
        <v>2643</v>
      </c>
      <c r="C617" t="s">
        <v>2644</v>
      </c>
      <c r="D617" t="s">
        <v>1014</v>
      </c>
      <c r="E617" t="s">
        <v>1028</v>
      </c>
      <c r="F617" t="s">
        <v>2645</v>
      </c>
      <c r="G617" t="s">
        <v>2646</v>
      </c>
      <c r="H617" s="13">
        <v>1924936.35</v>
      </c>
      <c r="I617" s="14">
        <v>9713060.5500000007</v>
      </c>
      <c r="J617" t="s">
        <v>1061</v>
      </c>
      <c r="K617" s="10">
        <v>4.9666699999999997</v>
      </c>
      <c r="Y617" s="10">
        <v>4.9533212195121923</v>
      </c>
      <c r="Z617" s="11" t="str">
        <f t="shared" si="9"/>
        <v/>
      </c>
    </row>
    <row r="618" spans="1:26" x14ac:dyDescent="0.3">
      <c r="A618" t="s">
        <v>617</v>
      </c>
      <c r="B618" t="s">
        <v>2647</v>
      </c>
      <c r="C618" t="s">
        <v>2648</v>
      </c>
      <c r="D618" t="s">
        <v>1014</v>
      </c>
      <c r="E618" t="s">
        <v>1032</v>
      </c>
      <c r="F618" t="s">
        <v>1193</v>
      </c>
      <c r="G618" t="s">
        <v>2255</v>
      </c>
      <c r="H618" s="13">
        <v>1065545</v>
      </c>
      <c r="I618" s="14">
        <v>9695942</v>
      </c>
      <c r="J618" t="s">
        <v>1052</v>
      </c>
      <c r="K618" s="10">
        <v>8.9036399999999993</v>
      </c>
      <c r="N618" s="10">
        <v>5.9023849999999998</v>
      </c>
      <c r="O618" s="10">
        <v>6.4464196153846149</v>
      </c>
      <c r="P618" s="10">
        <v>6.8062913461538406</v>
      </c>
      <c r="Q618" s="10">
        <v>7.2088348076923072</v>
      </c>
      <c r="R618" s="10">
        <v>7.4249301923076976</v>
      </c>
      <c r="S618" s="10">
        <v>7.6446709433962257</v>
      </c>
      <c r="T618" s="10">
        <v>7.8653142307692354</v>
      </c>
      <c r="U618" s="10">
        <v>8.2861359615384611</v>
      </c>
      <c r="V618" s="10">
        <v>8.913790192307701</v>
      </c>
      <c r="W618" s="10">
        <v>8.9252203846153844</v>
      </c>
      <c r="X618" s="10">
        <v>8.9152281132075473</v>
      </c>
      <c r="Y618" s="10">
        <v>8.8996436585365828</v>
      </c>
      <c r="Z618" s="11">
        <f t="shared" si="9"/>
        <v>0.20071541000000001</v>
      </c>
    </row>
    <row r="619" spans="1:26" x14ac:dyDescent="0.3">
      <c r="A619" t="s">
        <v>618</v>
      </c>
      <c r="B619" t="s">
        <v>2649</v>
      </c>
      <c r="C619" t="s">
        <v>2650</v>
      </c>
      <c r="D619" t="s">
        <v>1014</v>
      </c>
      <c r="E619" t="s">
        <v>1030</v>
      </c>
      <c r="F619" t="s">
        <v>2651</v>
      </c>
      <c r="G619" t="s">
        <v>2652</v>
      </c>
      <c r="H619" s="13">
        <v>542211</v>
      </c>
      <c r="I619" s="14">
        <v>9673902.1300000008</v>
      </c>
      <c r="J619" t="s">
        <v>1052</v>
      </c>
      <c r="K619" s="10">
        <v>18.59055</v>
      </c>
      <c r="R619" s="10">
        <v>12.84068692307693</v>
      </c>
      <c r="S619" s="10">
        <v>13.76496528301886</v>
      </c>
      <c r="T619" s="10">
        <v>14.433543461538459</v>
      </c>
      <c r="U619" s="10">
        <v>15.157289999999991</v>
      </c>
      <c r="V619" s="10">
        <v>15.892245384615389</v>
      </c>
      <c r="W619" s="10">
        <v>16.829281346153849</v>
      </c>
      <c r="X619" s="10">
        <v>17.747002452830191</v>
      </c>
      <c r="Y619" s="10">
        <v>18.593565121951229</v>
      </c>
      <c r="Z619" s="11">
        <f t="shared" si="9"/>
        <v>0.38209135999999999</v>
      </c>
    </row>
    <row r="620" spans="1:26" x14ac:dyDescent="0.3">
      <c r="A620" t="s">
        <v>619</v>
      </c>
      <c r="B620" t="s">
        <v>2653</v>
      </c>
      <c r="C620" t="s">
        <v>2654</v>
      </c>
      <c r="D620" t="s">
        <v>1014</v>
      </c>
      <c r="E620" t="s">
        <v>1025</v>
      </c>
      <c r="F620" t="s">
        <v>1092</v>
      </c>
      <c r="G620" t="s">
        <v>1093</v>
      </c>
      <c r="H620" s="13">
        <v>4978.5</v>
      </c>
      <c r="I620" s="14">
        <v>9649796.9100000001</v>
      </c>
      <c r="J620" t="s">
        <v>1061</v>
      </c>
      <c r="K620" s="10">
        <v>2084.1442900000002</v>
      </c>
      <c r="S620" s="10">
        <v>1353.332549</v>
      </c>
      <c r="T620" s="10">
        <v>1447.5121564102569</v>
      </c>
      <c r="U620" s="10">
        <v>1569.7189125</v>
      </c>
      <c r="V620" s="10">
        <v>1713.3631686538449</v>
      </c>
      <c r="W620" s="10">
        <v>1814.2144792307699</v>
      </c>
      <c r="X620" s="10">
        <v>1975.798173207548</v>
      </c>
      <c r="Y620" s="10">
        <v>2076.780706341463</v>
      </c>
      <c r="Z620" s="11" t="str">
        <f t="shared" si="9"/>
        <v/>
      </c>
    </row>
    <row r="621" spans="1:26" x14ac:dyDescent="0.3">
      <c r="A621" t="s">
        <v>620</v>
      </c>
      <c r="B621" t="s">
        <v>2655</v>
      </c>
      <c r="C621" t="s">
        <v>2200</v>
      </c>
      <c r="D621" t="s">
        <v>1015</v>
      </c>
      <c r="E621" t="s">
        <v>1030</v>
      </c>
      <c r="F621" t="s">
        <v>2082</v>
      </c>
      <c r="G621" t="s">
        <v>2201</v>
      </c>
      <c r="H621" s="13">
        <v>41222580</v>
      </c>
      <c r="I621" s="14">
        <v>9647171.8900000006</v>
      </c>
      <c r="J621" t="s">
        <v>1052</v>
      </c>
      <c r="K621" s="10">
        <v>5.7290000000000001E-2</v>
      </c>
      <c r="R621" s="10">
        <v>7.2638076923076916E-2</v>
      </c>
      <c r="S621" s="10">
        <v>8.6160188679245298E-2</v>
      </c>
      <c r="T621" s="10">
        <v>7.9580961538461517E-2</v>
      </c>
      <c r="U621" s="10">
        <v>7.2392499999999957E-2</v>
      </c>
      <c r="V621" s="10">
        <v>6.9134423076923079E-2</v>
      </c>
      <c r="W621" s="10">
        <v>6.1246153846153853E-2</v>
      </c>
      <c r="X621" s="10">
        <v>5.9745660377358477E-2</v>
      </c>
      <c r="Y621" s="10">
        <v>5.6320000000000009E-2</v>
      </c>
      <c r="Z621" s="11">
        <f t="shared" si="9"/>
        <v>-0.17748841000000001</v>
      </c>
    </row>
    <row r="622" spans="1:26" x14ac:dyDescent="0.3">
      <c r="A622" t="s">
        <v>621</v>
      </c>
      <c r="B622" t="s">
        <v>2656</v>
      </c>
      <c r="C622" t="s">
        <v>2657</v>
      </c>
      <c r="D622" t="s">
        <v>1014</v>
      </c>
      <c r="E622" t="s">
        <v>1022</v>
      </c>
      <c r="F622" t="s">
        <v>1106</v>
      </c>
      <c r="G622" t="s">
        <v>2571</v>
      </c>
      <c r="H622" s="13">
        <v>1042927</v>
      </c>
      <c r="I622" s="14">
        <v>9643933.0199999996</v>
      </c>
      <c r="J622" t="s">
        <v>1052</v>
      </c>
      <c r="K622" s="10">
        <v>9.1411200000000008</v>
      </c>
      <c r="M622" s="10">
        <v>7.6699996226415124</v>
      </c>
      <c r="N622" s="10">
        <v>8.0295211363636358</v>
      </c>
      <c r="O622" s="10">
        <v>8.2380980769230803</v>
      </c>
      <c r="P622" s="10">
        <v>8.7378253846153822</v>
      </c>
      <c r="Q622" s="10">
        <v>8.6860828846153844</v>
      </c>
      <c r="R622" s="10">
        <v>8.6861323076923025</v>
      </c>
      <c r="S622" s="10">
        <v>8.912277924528297</v>
      </c>
      <c r="T622" s="10">
        <v>9.1752890384615391</v>
      </c>
      <c r="U622" s="10">
        <v>9.2448832692307725</v>
      </c>
      <c r="V622" s="10">
        <v>9.1777171153846275</v>
      </c>
      <c r="W622" s="10">
        <v>9.1806000000000019</v>
      </c>
      <c r="X622" s="10">
        <v>9.1758990566037699</v>
      </c>
      <c r="Y622" s="10">
        <v>9.145833170731704</v>
      </c>
      <c r="Z622" s="11">
        <f t="shared" si="9"/>
        <v>5.6384910000000003E-2</v>
      </c>
    </row>
    <row r="623" spans="1:26" x14ac:dyDescent="0.3">
      <c r="A623" t="s">
        <v>622</v>
      </c>
      <c r="B623" t="s">
        <v>2658</v>
      </c>
      <c r="C623" t="s">
        <v>2659</v>
      </c>
      <c r="D623" t="s">
        <v>1014</v>
      </c>
      <c r="E623" t="s">
        <v>1019</v>
      </c>
      <c r="F623" t="s">
        <v>1081</v>
      </c>
      <c r="G623" t="s">
        <v>2660</v>
      </c>
      <c r="H623" s="13">
        <v>903330</v>
      </c>
      <c r="I623" s="14">
        <v>9636740.2799999993</v>
      </c>
      <c r="J623" t="s">
        <v>1052</v>
      </c>
      <c r="K623" s="10">
        <v>5.6276599999999997</v>
      </c>
      <c r="T623" s="10">
        <v>8.7928699999999935</v>
      </c>
      <c r="U623" s="10">
        <v>9.1545776923076865</v>
      </c>
      <c r="V623" s="10">
        <v>9.525748461538468</v>
      </c>
      <c r="W623" s="10">
        <v>9.7846630769230707</v>
      </c>
      <c r="X623" s="10">
        <v>10.09120471698113</v>
      </c>
      <c r="Y623" s="10">
        <v>5.6218075609756113</v>
      </c>
      <c r="Z623" s="11" t="str">
        <f t="shared" si="9"/>
        <v/>
      </c>
    </row>
    <row r="624" spans="1:26" x14ac:dyDescent="0.3">
      <c r="A624" t="s">
        <v>623</v>
      </c>
      <c r="B624" t="s">
        <v>2661</v>
      </c>
      <c r="C624" t="s">
        <v>2662</v>
      </c>
      <c r="D624" t="s">
        <v>1014</v>
      </c>
      <c r="E624" t="s">
        <v>1028</v>
      </c>
      <c r="F624" t="s">
        <v>2558</v>
      </c>
      <c r="G624" t="s">
        <v>2663</v>
      </c>
      <c r="H624" s="13">
        <v>72656.5</v>
      </c>
      <c r="I624" s="14">
        <v>9565197.1199999992</v>
      </c>
      <c r="J624" t="s">
        <v>1061</v>
      </c>
      <c r="K624" s="10">
        <v>131.67612</v>
      </c>
      <c r="R624" s="10">
        <v>97.909724423076881</v>
      </c>
      <c r="S624" s="10">
        <v>104.5545439622642</v>
      </c>
      <c r="T624" s="10">
        <v>108.559985</v>
      </c>
      <c r="U624" s="10">
        <v>113.9814757692308</v>
      </c>
      <c r="V624" s="10">
        <v>119.6997896153846</v>
      </c>
      <c r="W624" s="10">
        <v>124.4253823076923</v>
      </c>
      <c r="X624" s="10">
        <v>128.1963924528302</v>
      </c>
      <c r="Y624" s="10">
        <v>131.8140446341464</v>
      </c>
      <c r="Z624" s="11">
        <f t="shared" si="9"/>
        <v>0.30933258000000002</v>
      </c>
    </row>
    <row r="625" spans="1:26" x14ac:dyDescent="0.3">
      <c r="A625" t="s">
        <v>624</v>
      </c>
      <c r="B625" t="s">
        <v>2664</v>
      </c>
      <c r="C625" t="s">
        <v>2665</v>
      </c>
      <c r="D625" t="s">
        <v>1014</v>
      </c>
      <c r="E625" t="s">
        <v>1027</v>
      </c>
      <c r="F625" t="s">
        <v>1536</v>
      </c>
      <c r="G625" t="s">
        <v>1537</v>
      </c>
      <c r="H625" s="13">
        <v>247247</v>
      </c>
      <c r="I625" s="14">
        <v>9531524.9900000002</v>
      </c>
      <c r="J625" t="s">
        <v>1052</v>
      </c>
      <c r="K625" s="10">
        <v>39.881920000000001</v>
      </c>
      <c r="X625" s="10">
        <v>38.644050754716972</v>
      </c>
      <c r="Y625" s="10">
        <v>39.87625902439023</v>
      </c>
      <c r="Z625" s="11" t="str">
        <f t="shared" si="9"/>
        <v/>
      </c>
    </row>
    <row r="626" spans="1:26" x14ac:dyDescent="0.3">
      <c r="A626" t="s">
        <v>625</v>
      </c>
      <c r="B626" t="s">
        <v>2666</v>
      </c>
      <c r="C626" t="s">
        <v>2667</v>
      </c>
      <c r="D626" t="s">
        <v>1014</v>
      </c>
      <c r="E626" t="s">
        <v>1018</v>
      </c>
      <c r="F626" t="s">
        <v>2668</v>
      </c>
      <c r="G626" t="s">
        <v>2669</v>
      </c>
      <c r="H626" s="13">
        <v>37275</v>
      </c>
      <c r="I626" s="14">
        <v>9488807.8200000003</v>
      </c>
      <c r="J626" t="s">
        <v>1061</v>
      </c>
      <c r="K626" s="10">
        <v>257.73160000000001</v>
      </c>
      <c r="T626" s="10">
        <v>223.38054333333329</v>
      </c>
      <c r="U626" s="10">
        <v>227.3514623076922</v>
      </c>
      <c r="V626" s="10">
        <v>237.7731884615383</v>
      </c>
      <c r="W626" s="10">
        <v>244.0902626923077</v>
      </c>
      <c r="X626" s="10">
        <v>250.38204264150929</v>
      </c>
      <c r="Y626" s="10">
        <v>257.34471902439009</v>
      </c>
      <c r="Z626" s="11" t="str">
        <f t="shared" si="9"/>
        <v/>
      </c>
    </row>
    <row r="627" spans="1:26" x14ac:dyDescent="0.3">
      <c r="A627" t="s">
        <v>626</v>
      </c>
      <c r="B627" t="s">
        <v>2670</v>
      </c>
      <c r="C627" t="s">
        <v>2073</v>
      </c>
      <c r="D627" t="s">
        <v>1015</v>
      </c>
      <c r="E627" t="s">
        <v>1030</v>
      </c>
      <c r="F627" t="s">
        <v>1608</v>
      </c>
      <c r="G627" t="s">
        <v>2074</v>
      </c>
      <c r="H627" s="13">
        <v>265904.80200000003</v>
      </c>
      <c r="I627" s="14">
        <v>9468983.6899999995</v>
      </c>
      <c r="J627" t="s">
        <v>1061</v>
      </c>
      <c r="K627" s="10">
        <v>1.7863899999999999</v>
      </c>
      <c r="M627" s="10">
        <v>0.44973358490566051</v>
      </c>
      <c r="N627" s="10">
        <v>0.4594988461538459</v>
      </c>
      <c r="O627" s="10">
        <v>0.52880846153846162</v>
      </c>
      <c r="P627" s="10">
        <v>0.58232076923076914</v>
      </c>
      <c r="Q627" s="10">
        <v>0.54296846153846179</v>
      </c>
      <c r="R627" s="10">
        <v>0.63250171428571444</v>
      </c>
      <c r="S627" s="10">
        <v>0.68781037735849071</v>
      </c>
      <c r="T627" s="10">
        <v>0.65709999999999991</v>
      </c>
      <c r="U627" s="10">
        <v>0.62643999999999977</v>
      </c>
      <c r="W627" s="10">
        <v>0.72626729729729744</v>
      </c>
      <c r="X627" s="10">
        <v>0.88751415094339647</v>
      </c>
      <c r="Y627" s="10">
        <v>1.4236768292682931</v>
      </c>
      <c r="Z627" s="11">
        <f t="shared" si="9"/>
        <v>0.40318062999999998</v>
      </c>
    </row>
    <row r="628" spans="1:26" x14ac:dyDescent="0.3">
      <c r="A628" t="s">
        <v>627</v>
      </c>
      <c r="B628" t="s">
        <v>2671</v>
      </c>
      <c r="C628" t="s">
        <v>2672</v>
      </c>
      <c r="D628" t="s">
        <v>1015</v>
      </c>
      <c r="E628" t="s">
        <v>1029</v>
      </c>
      <c r="F628" t="s">
        <v>2673</v>
      </c>
      <c r="G628" t="s">
        <v>2674</v>
      </c>
      <c r="H628" s="13">
        <v>44169013.747000001</v>
      </c>
      <c r="I628" s="14">
        <v>9464867.5500000007</v>
      </c>
      <c r="J628" t="s">
        <v>1052</v>
      </c>
      <c r="K628" s="10">
        <v>2.0129999999999999E-2</v>
      </c>
      <c r="O628" s="10">
        <v>1.7746000000000001E-2</v>
      </c>
      <c r="P628" s="10">
        <v>1.690538461538461E-2</v>
      </c>
      <c r="Q628" s="10">
        <v>2.2469230769230759E-2</v>
      </c>
      <c r="R628" s="10">
        <v>2.5068269230769241E-2</v>
      </c>
      <c r="S628" s="10">
        <v>2.357169811320755E-2</v>
      </c>
      <c r="T628" s="10">
        <v>2.418807692307693E-2</v>
      </c>
      <c r="U628" s="10">
        <v>2.8688653846153839E-2</v>
      </c>
      <c r="V628" s="10">
        <v>2.872326923076924E-2</v>
      </c>
      <c r="W628" s="10">
        <v>2.4180769230769231E-2</v>
      </c>
      <c r="X628" s="10">
        <v>2.2453018867924529E-2</v>
      </c>
      <c r="Y628" s="10">
        <v>1.9793414634146338E-2</v>
      </c>
      <c r="Z628" s="11">
        <f t="shared" si="9"/>
        <v>-0.10432513</v>
      </c>
    </row>
    <row r="629" spans="1:26" x14ac:dyDescent="0.3">
      <c r="A629" t="s">
        <v>628</v>
      </c>
      <c r="B629" t="s">
        <v>2675</v>
      </c>
      <c r="C629" t="s">
        <v>2676</v>
      </c>
      <c r="D629" t="s">
        <v>1015</v>
      </c>
      <c r="E629" t="s">
        <v>1030</v>
      </c>
      <c r="F629" t="s">
        <v>2677</v>
      </c>
      <c r="G629" t="s">
        <v>1572</v>
      </c>
      <c r="H629" s="13">
        <v>8439129</v>
      </c>
      <c r="I629" s="14">
        <v>9434195.1099999994</v>
      </c>
      <c r="J629" t="s">
        <v>1052</v>
      </c>
      <c r="K629" s="10">
        <v>1.1000399999999999</v>
      </c>
      <c r="U629" s="10">
        <v>0.92468780487804925</v>
      </c>
      <c r="V629" s="10">
        <v>0.92046961538461558</v>
      </c>
      <c r="W629" s="10">
        <v>0.92317851851851862</v>
      </c>
      <c r="X629" s="10">
        <v>0.98033471698113173</v>
      </c>
      <c r="Y629" s="10">
        <v>1.0891097560975611</v>
      </c>
      <c r="Z629" s="11" t="str">
        <f t="shared" si="9"/>
        <v/>
      </c>
    </row>
    <row r="630" spans="1:26" x14ac:dyDescent="0.3">
      <c r="A630" t="s">
        <v>629</v>
      </c>
      <c r="B630" t="s">
        <v>2678</v>
      </c>
      <c r="C630" t="s">
        <v>2679</v>
      </c>
      <c r="D630" t="s">
        <v>1015</v>
      </c>
      <c r="E630" t="s">
        <v>1030</v>
      </c>
      <c r="F630" t="s">
        <v>2108</v>
      </c>
      <c r="G630" t="s">
        <v>2201</v>
      </c>
      <c r="H630" s="13">
        <v>177310417.33399999</v>
      </c>
      <c r="I630" s="14">
        <v>9428405.4900000002</v>
      </c>
      <c r="J630" t="s">
        <v>1061</v>
      </c>
      <c r="K630" s="10">
        <v>2.461E-2</v>
      </c>
      <c r="R630" s="10">
        <v>3.738833333333335E-2</v>
      </c>
      <c r="S630" s="10">
        <v>3.4436981132075467E-2</v>
      </c>
      <c r="T630" s="10">
        <v>3.2899230769230778E-2</v>
      </c>
      <c r="U630" s="10">
        <v>2.8143461538461541E-2</v>
      </c>
      <c r="V630" s="10">
        <v>2.828E-2</v>
      </c>
      <c r="W630" s="10">
        <v>2.3691923076923079E-2</v>
      </c>
      <c r="X630" s="10">
        <v>2.4891886792452821E-2</v>
      </c>
      <c r="Y630" s="10">
        <v>2.434170731707316E-2</v>
      </c>
      <c r="Z630" s="11">
        <f t="shared" si="9"/>
        <v>-0.33423385</v>
      </c>
    </row>
    <row r="631" spans="1:26" x14ac:dyDescent="0.3">
      <c r="A631" t="s">
        <v>630</v>
      </c>
      <c r="B631" t="s">
        <v>2680</v>
      </c>
      <c r="C631" t="s">
        <v>2681</v>
      </c>
      <c r="D631" t="s">
        <v>1014</v>
      </c>
      <c r="E631" t="s">
        <v>1022</v>
      </c>
      <c r="F631" t="s">
        <v>1055</v>
      </c>
      <c r="G631" t="s">
        <v>1264</v>
      </c>
      <c r="H631" s="13">
        <v>4603294.3329999996</v>
      </c>
      <c r="I631" s="14">
        <v>9399934.0199999996</v>
      </c>
      <c r="J631" t="s">
        <v>1052</v>
      </c>
      <c r="K631" s="10">
        <v>2.10487</v>
      </c>
      <c r="W631" s="10">
        <v>1.9937409090909091</v>
      </c>
      <c r="X631" s="10">
        <v>2.0570590566037721</v>
      </c>
      <c r="Y631" s="10">
        <v>2.1068239024390238</v>
      </c>
      <c r="Z631" s="11" t="str">
        <f t="shared" si="9"/>
        <v/>
      </c>
    </row>
    <row r="632" spans="1:26" x14ac:dyDescent="0.3">
      <c r="A632" t="s">
        <v>631</v>
      </c>
      <c r="B632" t="s">
        <v>2682</v>
      </c>
      <c r="C632" t="s">
        <v>2683</v>
      </c>
      <c r="D632" t="s">
        <v>1014</v>
      </c>
      <c r="E632" t="s">
        <v>1024</v>
      </c>
      <c r="F632" t="s">
        <v>1092</v>
      </c>
      <c r="G632" t="s">
        <v>2684</v>
      </c>
      <c r="H632" s="13">
        <v>32762.874</v>
      </c>
      <c r="I632" s="14">
        <v>9383132.6999999993</v>
      </c>
      <c r="J632" t="s">
        <v>1061</v>
      </c>
      <c r="K632" s="10">
        <v>304.0908</v>
      </c>
      <c r="M632" s="10">
        <v>283.43780924528289</v>
      </c>
      <c r="N632" s="10">
        <v>288.66428673076911</v>
      </c>
      <c r="O632" s="10">
        <v>291.30797999999987</v>
      </c>
      <c r="W632" s="10">
        <v>304.92133945945949</v>
      </c>
      <c r="X632" s="10">
        <v>305.97946924528298</v>
      </c>
      <c r="Y632" s="10">
        <v>304.9578292682927</v>
      </c>
      <c r="Z632" s="11" t="str">
        <f t="shared" si="9"/>
        <v/>
      </c>
    </row>
    <row r="633" spans="1:26" x14ac:dyDescent="0.3">
      <c r="A633" t="s">
        <v>632</v>
      </c>
      <c r="B633" t="s">
        <v>2685</v>
      </c>
      <c r="C633" t="s">
        <v>2686</v>
      </c>
      <c r="D633" t="s">
        <v>1014</v>
      </c>
      <c r="E633" t="s">
        <v>1019</v>
      </c>
      <c r="F633" t="s">
        <v>1305</v>
      </c>
      <c r="G633" t="s">
        <v>1662</v>
      </c>
      <c r="H633" s="13">
        <v>1690121</v>
      </c>
      <c r="I633" s="14">
        <v>9247249.3000000007</v>
      </c>
      <c r="J633" t="s">
        <v>1052</v>
      </c>
      <c r="K633" s="10">
        <v>5.2780699999999996</v>
      </c>
      <c r="M633" s="10">
        <v>4.7318009433962276</v>
      </c>
      <c r="N633" s="10">
        <v>5.407824999999999</v>
      </c>
      <c r="O633" s="10">
        <v>5.8657865384615384</v>
      </c>
      <c r="P633" s="10">
        <v>6.2431694230769228</v>
      </c>
      <c r="Q633" s="10">
        <v>6.8531224999999969</v>
      </c>
      <c r="R633" s="10">
        <v>7.1974357692307667</v>
      </c>
      <c r="S633" s="10">
        <v>7.5606652830188681</v>
      </c>
      <c r="T633" s="10">
        <v>7.9327798076923104</v>
      </c>
      <c r="U633" s="10">
        <v>8.3268575000000062</v>
      </c>
      <c r="V633" s="10">
        <v>8.7312259615384544</v>
      </c>
      <c r="W633" s="10">
        <v>9.1433503846153883</v>
      </c>
      <c r="X633" s="10">
        <v>5.2775099999999977</v>
      </c>
      <c r="Y633" s="10">
        <v>5.276850975609757</v>
      </c>
      <c r="Z633" s="11">
        <f t="shared" si="9"/>
        <v>-0.26675135999999999</v>
      </c>
    </row>
    <row r="634" spans="1:26" x14ac:dyDescent="0.3">
      <c r="A634" t="s">
        <v>633</v>
      </c>
      <c r="B634" t="s">
        <v>2687</v>
      </c>
      <c r="C634" t="s">
        <v>2688</v>
      </c>
      <c r="D634" t="s">
        <v>1014</v>
      </c>
      <c r="E634" t="s">
        <v>1024</v>
      </c>
      <c r="F634" t="s">
        <v>2689</v>
      </c>
      <c r="G634" t="s">
        <v>2690</v>
      </c>
      <c r="H634" s="13">
        <v>1630612.611</v>
      </c>
      <c r="I634" s="14">
        <v>9243845.7400000002</v>
      </c>
      <c r="J634" t="s">
        <v>1052</v>
      </c>
      <c r="K634" s="10">
        <v>7.48095</v>
      </c>
      <c r="O634" s="10">
        <v>4.6457050000000013</v>
      </c>
      <c r="P634" s="10">
        <v>4.967177115384616</v>
      </c>
      <c r="Q634" s="10">
        <v>5.1393069230769237</v>
      </c>
      <c r="R634" s="10">
        <v>5.4827703846153826</v>
      </c>
      <c r="S634" s="10">
        <v>5.814379433962265</v>
      </c>
      <c r="T634" s="10">
        <v>6.1218049999999993</v>
      </c>
      <c r="U634" s="10">
        <v>6.6230121153846149</v>
      </c>
      <c r="V634" s="10">
        <v>7.0962750000000021</v>
      </c>
      <c r="W634" s="10">
        <v>7.2531774999999987</v>
      </c>
      <c r="X634" s="10">
        <v>7.4190788679245321</v>
      </c>
      <c r="Y634" s="10">
        <v>7.4770485365853698</v>
      </c>
      <c r="Z634" s="11">
        <f t="shared" si="9"/>
        <v>0.35316241999999998</v>
      </c>
    </row>
    <row r="635" spans="1:26" x14ac:dyDescent="0.3">
      <c r="A635" t="s">
        <v>634</v>
      </c>
      <c r="B635" t="s">
        <v>2691</v>
      </c>
      <c r="C635" t="s">
        <v>2692</v>
      </c>
      <c r="D635" t="s">
        <v>1014</v>
      </c>
      <c r="E635" t="s">
        <v>1027</v>
      </c>
      <c r="F635" t="s">
        <v>2211</v>
      </c>
      <c r="G635" t="s">
        <v>2212</v>
      </c>
      <c r="H635" s="13">
        <v>159432</v>
      </c>
      <c r="I635" s="14">
        <v>9231272.2799999993</v>
      </c>
      <c r="J635" t="s">
        <v>1052</v>
      </c>
      <c r="K635" s="10">
        <v>60.286580000000001</v>
      </c>
      <c r="P635" s="10">
        <v>31.656681923076938</v>
      </c>
      <c r="Q635" s="10">
        <v>34.179022115384591</v>
      </c>
      <c r="R635" s="10">
        <v>36.880173469387778</v>
      </c>
      <c r="S635" s="10">
        <v>40.809832452830207</v>
      </c>
      <c r="T635" s="10">
        <v>48.22711538461536</v>
      </c>
      <c r="U635" s="10">
        <v>52.574757499999961</v>
      </c>
      <c r="V635" s="10">
        <v>54.971449999999997</v>
      </c>
      <c r="W635" s="10">
        <v>56.562329729729719</v>
      </c>
      <c r="X635" s="10">
        <v>57.779909056603763</v>
      </c>
      <c r="Y635" s="10">
        <v>59.930351707317051</v>
      </c>
      <c r="Z635" s="11">
        <f t="shared" si="9"/>
        <v>0.56669298000000001</v>
      </c>
    </row>
    <row r="636" spans="1:26" x14ac:dyDescent="0.3">
      <c r="A636" t="s">
        <v>635</v>
      </c>
      <c r="B636" t="s">
        <v>2693</v>
      </c>
      <c r="C636" t="s">
        <v>2694</v>
      </c>
      <c r="D636" t="s">
        <v>1014</v>
      </c>
      <c r="E636" t="s">
        <v>1024</v>
      </c>
      <c r="F636" t="s">
        <v>1298</v>
      </c>
      <c r="G636" t="s">
        <v>2695</v>
      </c>
      <c r="H636" s="13">
        <v>46582.830999999998</v>
      </c>
      <c r="I636" s="14">
        <v>9216445.5399999991</v>
      </c>
      <c r="J636" t="s">
        <v>1052</v>
      </c>
      <c r="K636" s="10">
        <v>186.37960000000001</v>
      </c>
      <c r="M636" s="10">
        <v>109.9920558490566</v>
      </c>
      <c r="N636" s="10">
        <v>119.0906317307692</v>
      </c>
      <c r="O636" s="10">
        <v>128.7075323076923</v>
      </c>
      <c r="P636" s="10">
        <v>139.20533865384621</v>
      </c>
      <c r="Q636" s="10">
        <v>147.72433288461539</v>
      </c>
      <c r="X636" s="10">
        <v>177.34317830188681</v>
      </c>
      <c r="Y636" s="10">
        <v>186.16309000000021</v>
      </c>
      <c r="Z636" s="11" t="str">
        <f t="shared" si="9"/>
        <v/>
      </c>
    </row>
    <row r="637" spans="1:26" x14ac:dyDescent="0.3">
      <c r="A637" t="s">
        <v>636</v>
      </c>
      <c r="B637" t="s">
        <v>2696</v>
      </c>
      <c r="C637" t="s">
        <v>2679</v>
      </c>
      <c r="D637" t="s">
        <v>1015</v>
      </c>
      <c r="E637" t="s">
        <v>1030</v>
      </c>
      <c r="F637" t="s">
        <v>2108</v>
      </c>
      <c r="G637" t="s">
        <v>2201</v>
      </c>
      <c r="H637" s="13">
        <v>154072488.86399999</v>
      </c>
      <c r="I637" s="14">
        <v>9208845.5999999996</v>
      </c>
      <c r="J637" t="s">
        <v>1061</v>
      </c>
      <c r="K637" s="10">
        <v>4.4119999999999999E-2</v>
      </c>
      <c r="Q637" s="10">
        <v>4.2850000000000013E-2</v>
      </c>
      <c r="R637" s="10">
        <v>4.1157692307692298E-2</v>
      </c>
      <c r="S637" s="10">
        <v>3.8530000000000002E-2</v>
      </c>
      <c r="T637" s="10">
        <v>3.7934807692307719E-2</v>
      </c>
      <c r="U637" s="10">
        <v>3.8255961538461551E-2</v>
      </c>
      <c r="V637" s="10">
        <v>4.0720192307692318E-2</v>
      </c>
      <c r="W637" s="10">
        <v>3.7720576923076919E-2</v>
      </c>
      <c r="X637" s="10">
        <v>4.0032452830188678E-2</v>
      </c>
      <c r="Y637" s="10">
        <v>4.265487804878048E-2</v>
      </c>
      <c r="Z637" s="11">
        <f t="shared" si="9"/>
        <v>-2.733971E-2</v>
      </c>
    </row>
    <row r="638" spans="1:26" x14ac:dyDescent="0.3">
      <c r="A638" t="s">
        <v>637</v>
      </c>
      <c r="B638" t="s">
        <v>2697</v>
      </c>
      <c r="C638" t="s">
        <v>2698</v>
      </c>
      <c r="D638" t="s">
        <v>1014</v>
      </c>
      <c r="E638" t="s">
        <v>1027</v>
      </c>
      <c r="F638" t="s">
        <v>1270</v>
      </c>
      <c r="G638" t="s">
        <v>1271</v>
      </c>
      <c r="H638" s="13">
        <v>732104</v>
      </c>
      <c r="I638" s="14">
        <v>9194933.0399999991</v>
      </c>
      <c r="J638" t="s">
        <v>1052</v>
      </c>
      <c r="K638" s="10">
        <v>12.358420000000001</v>
      </c>
      <c r="Q638" s="10">
        <v>9.4894563999999999</v>
      </c>
      <c r="R638" s="10">
        <v>9.6534026923076866</v>
      </c>
      <c r="S638" s="10">
        <v>10.182472830188679</v>
      </c>
      <c r="T638" s="10">
        <v>10.688280000000001</v>
      </c>
      <c r="U638" s="10">
        <v>11.26997999999999</v>
      </c>
      <c r="V638" s="10">
        <v>11.82280288461539</v>
      </c>
      <c r="W638" s="10">
        <v>12.391936153846149</v>
      </c>
      <c r="X638" s="10">
        <v>12.37414849056603</v>
      </c>
      <c r="Y638" s="10">
        <v>12.34988658536586</v>
      </c>
      <c r="Z638" s="11">
        <f t="shared" si="9"/>
        <v>0.28184319000000002</v>
      </c>
    </row>
    <row r="639" spans="1:26" x14ac:dyDescent="0.3">
      <c r="A639" t="s">
        <v>638</v>
      </c>
      <c r="B639" t="s">
        <v>2699</v>
      </c>
      <c r="C639" t="s">
        <v>2700</v>
      </c>
      <c r="D639" t="s">
        <v>1014</v>
      </c>
      <c r="E639" t="s">
        <v>1018</v>
      </c>
      <c r="F639" t="s">
        <v>2701</v>
      </c>
      <c r="G639" t="s">
        <v>2702</v>
      </c>
      <c r="H639" s="13">
        <v>675989</v>
      </c>
      <c r="I639" s="14">
        <v>9189996.0600000005</v>
      </c>
      <c r="J639" t="s">
        <v>1052</v>
      </c>
      <c r="K639" s="10">
        <v>13.7964</v>
      </c>
      <c r="T639" s="10">
        <v>11.04360538461539</v>
      </c>
      <c r="U639" s="10">
        <v>12.276256346153829</v>
      </c>
      <c r="V639" s="10">
        <v>12.6584701923077</v>
      </c>
      <c r="W639" s="10">
        <v>13.056875769230761</v>
      </c>
      <c r="X639" s="10">
        <v>13.43815490566038</v>
      </c>
      <c r="Y639" s="10">
        <v>13.82581243902438</v>
      </c>
      <c r="Z639" s="11" t="str">
        <f t="shared" si="9"/>
        <v/>
      </c>
    </row>
    <row r="640" spans="1:26" x14ac:dyDescent="0.3">
      <c r="A640" t="s">
        <v>639</v>
      </c>
      <c r="B640" t="s">
        <v>2703</v>
      </c>
      <c r="C640" t="s">
        <v>2704</v>
      </c>
      <c r="D640" t="s">
        <v>1014</v>
      </c>
      <c r="E640" t="s">
        <v>1030</v>
      </c>
      <c r="F640" t="s">
        <v>1055</v>
      </c>
      <c r="G640" t="s">
        <v>2705</v>
      </c>
      <c r="H640" s="13">
        <v>341530</v>
      </c>
      <c r="I640" s="14">
        <v>9186606.7799999993</v>
      </c>
      <c r="J640" t="s">
        <v>1052</v>
      </c>
      <c r="K640" s="10">
        <v>28.09348</v>
      </c>
      <c r="O640" s="10">
        <v>15.50937739130435</v>
      </c>
      <c r="P640" s="10">
        <v>16.711465000000011</v>
      </c>
      <c r="Q640" s="10">
        <v>18.311330192307679</v>
      </c>
      <c r="R640" s="10">
        <v>20.092181923076939</v>
      </c>
      <c r="S640" s="10">
        <v>21.016333773584911</v>
      </c>
      <c r="T640" s="10">
        <v>22.091027115384609</v>
      </c>
      <c r="U640" s="10">
        <v>23.178863846153849</v>
      </c>
      <c r="V640" s="10">
        <v>24.37974403846156</v>
      </c>
      <c r="W640" s="10">
        <v>25.557340576923071</v>
      </c>
      <c r="X640" s="10">
        <v>26.8042633962264</v>
      </c>
      <c r="Y640" s="10">
        <v>28.083218292682929</v>
      </c>
      <c r="Z640" s="11">
        <f t="shared" si="9"/>
        <v>0.33406434000000002</v>
      </c>
    </row>
    <row r="641" spans="1:26" x14ac:dyDescent="0.3">
      <c r="A641" t="s">
        <v>640</v>
      </c>
      <c r="B641" t="s">
        <v>2706</v>
      </c>
      <c r="C641" t="s">
        <v>2707</v>
      </c>
      <c r="D641" t="s">
        <v>1014</v>
      </c>
      <c r="E641" t="s">
        <v>1030</v>
      </c>
      <c r="F641" t="s">
        <v>2279</v>
      </c>
      <c r="G641" t="s">
        <v>2280</v>
      </c>
      <c r="H641" s="13">
        <v>531067</v>
      </c>
      <c r="I641" s="14">
        <v>9120476.8599999994</v>
      </c>
      <c r="J641" t="s">
        <v>1052</v>
      </c>
      <c r="K641" s="10">
        <v>18.774260000000002</v>
      </c>
      <c r="M641" s="10">
        <v>7.4713733962264177</v>
      </c>
      <c r="N641" s="10">
        <v>8.3918295833333296</v>
      </c>
      <c r="O641" s="10">
        <v>9.4443588461538468</v>
      </c>
      <c r="P641" s="10">
        <v>10.28421596153848</v>
      </c>
      <c r="Q641" s="10">
        <v>11.22506846153847</v>
      </c>
      <c r="R641" s="10">
        <v>12.31247826923077</v>
      </c>
      <c r="S641" s="10">
        <v>12.930155283018861</v>
      </c>
      <c r="T641" s="10">
        <v>13.58311153846153</v>
      </c>
      <c r="U641" s="10">
        <v>14.286350000000001</v>
      </c>
      <c r="V641" s="10">
        <v>14.98111788461539</v>
      </c>
      <c r="W641" s="10">
        <v>16.331027692307689</v>
      </c>
      <c r="X641" s="10">
        <v>17.31081188679244</v>
      </c>
      <c r="Y641" s="10">
        <v>18.776644878048781</v>
      </c>
      <c r="Z641" s="11">
        <f t="shared" si="9"/>
        <v>0.40595674999999998</v>
      </c>
    </row>
    <row r="642" spans="1:26" x14ac:dyDescent="0.3">
      <c r="A642" t="s">
        <v>641</v>
      </c>
      <c r="B642" t="s">
        <v>2708</v>
      </c>
      <c r="C642" t="s">
        <v>1392</v>
      </c>
      <c r="D642" t="s">
        <v>1015</v>
      </c>
      <c r="E642" t="s">
        <v>1032</v>
      </c>
      <c r="F642" t="s">
        <v>2709</v>
      </c>
      <c r="G642" t="s">
        <v>1611</v>
      </c>
      <c r="H642" s="13">
        <v>2862132.0210000002</v>
      </c>
      <c r="I642" s="14">
        <v>9113303.1500000004</v>
      </c>
      <c r="J642" t="s">
        <v>1163</v>
      </c>
      <c r="K642" s="10">
        <v>1.5404899999999999</v>
      </c>
      <c r="X642" s="10">
        <v>2.0695594117647049</v>
      </c>
      <c r="Y642" s="10">
        <v>1.670867804878049</v>
      </c>
      <c r="Z642" s="11" t="str">
        <f t="shared" ref="Z642:Z705" si="10">IF(AND(ISNUMBER(INDEX($L642:$Y642,MATCH(BaseYear,p_years,0))),ISNUMBER(INDEX($L642:$Y642,MATCH(EndYear,p_years,0)))),ROUND(INDEX($L642:$Y642,MATCH(EndYear,p_years,0))/INDEX($L642:$Y642,MATCH(BaseYear,p_years,0))-1,8),"")</f>
        <v/>
      </c>
    </row>
    <row r="643" spans="1:26" x14ac:dyDescent="0.3">
      <c r="A643" t="s">
        <v>642</v>
      </c>
      <c r="B643" t="s">
        <v>2710</v>
      </c>
      <c r="C643" t="s">
        <v>2511</v>
      </c>
      <c r="D643" t="s">
        <v>1015</v>
      </c>
      <c r="E643" t="s">
        <v>1033</v>
      </c>
      <c r="F643" t="s">
        <v>1610</v>
      </c>
      <c r="G643" t="s">
        <v>2512</v>
      </c>
      <c r="H643" s="13">
        <v>986048</v>
      </c>
      <c r="I643" s="14">
        <v>9031553.2599999998</v>
      </c>
      <c r="J643" t="s">
        <v>1052</v>
      </c>
      <c r="K643" s="10">
        <v>9.3865800000000004</v>
      </c>
      <c r="X643" s="10">
        <v>9.8317658490566</v>
      </c>
      <c r="Y643" s="10">
        <v>9.6503185365853632</v>
      </c>
      <c r="Z643" s="11" t="str">
        <f t="shared" si="10"/>
        <v/>
      </c>
    </row>
    <row r="644" spans="1:26" x14ac:dyDescent="0.3">
      <c r="A644" t="s">
        <v>643</v>
      </c>
      <c r="B644" t="s">
        <v>2711</v>
      </c>
      <c r="C644" t="s">
        <v>2712</v>
      </c>
      <c r="D644" t="s">
        <v>1015</v>
      </c>
      <c r="E644" t="s">
        <v>1018</v>
      </c>
      <c r="F644" t="s">
        <v>1610</v>
      </c>
      <c r="G644" t="s">
        <v>2713</v>
      </c>
      <c r="H644" s="13">
        <v>60587096</v>
      </c>
      <c r="I644" s="14">
        <v>9016183.0999999996</v>
      </c>
      <c r="J644" t="s">
        <v>1052</v>
      </c>
      <c r="K644" s="10">
        <v>1.8149999999999999E-2</v>
      </c>
      <c r="P644" s="10">
        <v>1.7135882352941181E-2</v>
      </c>
      <c r="Q644" s="10">
        <v>1.7178846153846159E-2</v>
      </c>
      <c r="R644" s="10">
        <v>1.9455192307692309E-2</v>
      </c>
      <c r="S644" s="10">
        <v>2.216339622641509E-2</v>
      </c>
      <c r="T644" s="10">
        <v>2.1870192307692309E-2</v>
      </c>
      <c r="U644" s="10">
        <v>1.9183076923076931E-2</v>
      </c>
      <c r="V644" s="10">
        <v>1.882230769230769E-2</v>
      </c>
      <c r="W644" s="10">
        <v>1.7535961538461532E-2</v>
      </c>
      <c r="X644" s="10">
        <v>1.8215849056603759E-2</v>
      </c>
      <c r="Y644" s="10">
        <v>1.8696097560975618E-2</v>
      </c>
      <c r="Z644" s="11">
        <f t="shared" si="10"/>
        <v>-6.3702439999999999E-2</v>
      </c>
    </row>
    <row r="645" spans="1:26" x14ac:dyDescent="0.3">
      <c r="A645" t="s">
        <v>644</v>
      </c>
      <c r="B645" t="s">
        <v>2714</v>
      </c>
      <c r="C645" t="s">
        <v>2715</v>
      </c>
      <c r="D645" t="s">
        <v>1014</v>
      </c>
      <c r="E645" t="s">
        <v>1032</v>
      </c>
      <c r="F645" t="s">
        <v>2716</v>
      </c>
      <c r="G645" t="s">
        <v>2717</v>
      </c>
      <c r="H645" s="13">
        <v>34746</v>
      </c>
      <c r="I645" s="14">
        <v>9015291.2100000009</v>
      </c>
      <c r="J645" t="s">
        <v>1052</v>
      </c>
      <c r="K645" s="10">
        <v>309.37572999999998</v>
      </c>
      <c r="X645" s="10">
        <v>297.94345641509432</v>
      </c>
      <c r="Y645" s="10">
        <v>301.85595853658532</v>
      </c>
      <c r="Z645" s="11" t="str">
        <f t="shared" si="10"/>
        <v/>
      </c>
    </row>
    <row r="646" spans="1:26" x14ac:dyDescent="0.3">
      <c r="A646" t="s">
        <v>645</v>
      </c>
      <c r="B646" t="s">
        <v>2718</v>
      </c>
      <c r="C646" t="s">
        <v>2719</v>
      </c>
      <c r="D646" t="s">
        <v>1014</v>
      </c>
      <c r="E646" t="s">
        <v>1027</v>
      </c>
      <c r="F646" t="s">
        <v>1114</v>
      </c>
      <c r="G646" t="s">
        <v>2720</v>
      </c>
      <c r="H646" s="13">
        <v>49506</v>
      </c>
      <c r="I646" s="14">
        <v>9006666.4100000001</v>
      </c>
      <c r="J646" t="s">
        <v>1052</v>
      </c>
      <c r="K646" s="10">
        <v>189.80062000000001</v>
      </c>
      <c r="W646" s="10">
        <v>176.1349376923078</v>
      </c>
      <c r="X646" s="10">
        <v>181.3141118867926</v>
      </c>
      <c r="Y646" s="10">
        <v>190.0515207317074</v>
      </c>
      <c r="Z646" s="11" t="str">
        <f t="shared" si="10"/>
        <v/>
      </c>
    </row>
    <row r="647" spans="1:26" x14ac:dyDescent="0.3">
      <c r="A647" t="s">
        <v>646</v>
      </c>
      <c r="B647" t="s">
        <v>2721</v>
      </c>
      <c r="C647" t="s">
        <v>2722</v>
      </c>
      <c r="D647" t="s">
        <v>1015</v>
      </c>
      <c r="E647" t="s">
        <v>1020</v>
      </c>
      <c r="F647" t="s">
        <v>1363</v>
      </c>
      <c r="G647" t="s">
        <v>2723</v>
      </c>
      <c r="H647" s="13">
        <v>216776.095</v>
      </c>
      <c r="I647" s="14">
        <v>8934633.5500000007</v>
      </c>
      <c r="J647" t="s">
        <v>1061</v>
      </c>
      <c r="K647" s="10">
        <v>27.36384</v>
      </c>
      <c r="U647" s="10">
        <v>43.459187073170739</v>
      </c>
      <c r="V647" s="10">
        <v>42.633249230769223</v>
      </c>
      <c r="W647" s="10">
        <v>36.345639423076904</v>
      </c>
      <c r="X647" s="10">
        <v>34.0906258490566</v>
      </c>
      <c r="Y647" s="10">
        <v>27.84195317073171</v>
      </c>
      <c r="Z647" s="11" t="str">
        <f t="shared" si="10"/>
        <v/>
      </c>
    </row>
    <row r="648" spans="1:26" x14ac:dyDescent="0.3">
      <c r="A648" t="s">
        <v>647</v>
      </c>
      <c r="B648" t="s">
        <v>2724</v>
      </c>
      <c r="C648" t="s">
        <v>2725</v>
      </c>
      <c r="D648" t="s">
        <v>1014</v>
      </c>
      <c r="E648" t="s">
        <v>1019</v>
      </c>
      <c r="F648" t="s">
        <v>1081</v>
      </c>
      <c r="G648" t="s">
        <v>1873</v>
      </c>
      <c r="H648" s="13">
        <v>864158</v>
      </c>
      <c r="I648" s="14">
        <v>8909528.1199999992</v>
      </c>
      <c r="J648" t="s">
        <v>1052</v>
      </c>
      <c r="K648" s="10">
        <v>5.59938</v>
      </c>
      <c r="O648" s="10">
        <v>6.1611300000000044</v>
      </c>
      <c r="P648" s="10">
        <v>6.8767753846153834</v>
      </c>
      <c r="Q648" s="10">
        <v>7.4333194230769228</v>
      </c>
      <c r="R648" s="10">
        <v>7.8685571153846121</v>
      </c>
      <c r="S648" s="10">
        <v>8.355515849056605</v>
      </c>
      <c r="T648" s="10">
        <v>8.7839209615384561</v>
      </c>
      <c r="U648" s="10">
        <v>9.1216361538461594</v>
      </c>
      <c r="V648" s="10">
        <v>9.5051848076922987</v>
      </c>
      <c r="W648" s="10">
        <v>9.7947719230769241</v>
      </c>
      <c r="X648" s="10">
        <v>10.070252641509439</v>
      </c>
      <c r="Y648" s="10">
        <v>5.6002502439024404</v>
      </c>
      <c r="Z648" s="11">
        <f t="shared" si="10"/>
        <v>0.27980930999999998</v>
      </c>
    </row>
    <row r="649" spans="1:26" x14ac:dyDescent="0.3">
      <c r="A649" t="s">
        <v>648</v>
      </c>
      <c r="B649" t="s">
        <v>2726</v>
      </c>
      <c r="C649" t="s">
        <v>2727</v>
      </c>
      <c r="D649" t="s">
        <v>1014</v>
      </c>
      <c r="E649" t="s">
        <v>1027</v>
      </c>
      <c r="F649" t="s">
        <v>1123</v>
      </c>
      <c r="G649" t="s">
        <v>1285</v>
      </c>
      <c r="H649" s="13">
        <v>15119.84</v>
      </c>
      <c r="I649" s="14">
        <v>8892729.5199999996</v>
      </c>
      <c r="J649" t="s">
        <v>1061</v>
      </c>
      <c r="K649" s="10">
        <v>612.51643999999999</v>
      </c>
      <c r="S649" s="10">
        <v>482.72084599999999</v>
      </c>
      <c r="T649" s="10">
        <v>503.86381134615408</v>
      </c>
      <c r="U649" s="10">
        <v>523.66762038461502</v>
      </c>
      <c r="V649" s="10">
        <v>545.48586384615373</v>
      </c>
      <c r="W649" s="10">
        <v>568.30528942307706</v>
      </c>
      <c r="X649" s="10">
        <v>594.70380226415114</v>
      </c>
      <c r="Y649" s="10">
        <v>611.97122390243885</v>
      </c>
      <c r="Z649" s="11" t="str">
        <f t="shared" si="10"/>
        <v/>
      </c>
    </row>
    <row r="650" spans="1:26" x14ac:dyDescent="0.3">
      <c r="A650" t="s">
        <v>649</v>
      </c>
      <c r="B650" t="s">
        <v>2728</v>
      </c>
      <c r="C650" t="s">
        <v>2271</v>
      </c>
      <c r="D650" t="s">
        <v>1015</v>
      </c>
      <c r="E650" t="s">
        <v>1022</v>
      </c>
      <c r="F650" t="s">
        <v>1114</v>
      </c>
      <c r="G650" t="s">
        <v>2040</v>
      </c>
      <c r="H650" s="13">
        <v>370525.63299999997</v>
      </c>
      <c r="I650" s="14">
        <v>8877906.7699999996</v>
      </c>
      <c r="J650" t="s">
        <v>1061</v>
      </c>
      <c r="K650" s="10">
        <v>0.17588000000000001</v>
      </c>
      <c r="M650" s="10">
        <v>0.32519113207547168</v>
      </c>
      <c r="N650" s="10">
        <v>0.25912346153846139</v>
      </c>
      <c r="O650" s="10">
        <v>0.23920442307692311</v>
      </c>
      <c r="P650" s="10">
        <v>0.21185923076923069</v>
      </c>
      <c r="Q650" s="10">
        <v>0.23745942857142849</v>
      </c>
      <c r="R650" s="10">
        <v>0.23839538461538451</v>
      </c>
      <c r="S650" s="10">
        <v>0.2344</v>
      </c>
      <c r="T650" s="10">
        <v>0.17019999999999991</v>
      </c>
      <c r="U650" s="10">
        <v>0.19470615384615381</v>
      </c>
      <c r="V650" s="10">
        <v>0.2339344230769233</v>
      </c>
      <c r="W650" s="10">
        <v>0.19962384615384621</v>
      </c>
      <c r="X650" s="10">
        <v>0.20490622641509429</v>
      </c>
      <c r="Y650" s="10">
        <v>0.18463268292682919</v>
      </c>
      <c r="Z650" s="11">
        <f t="shared" si="10"/>
        <v>-0.14047738000000001</v>
      </c>
    </row>
    <row r="651" spans="1:26" x14ac:dyDescent="0.3">
      <c r="A651" t="s">
        <v>650</v>
      </c>
      <c r="B651" t="s">
        <v>2729</v>
      </c>
      <c r="C651" t="s">
        <v>2730</v>
      </c>
      <c r="D651" t="s">
        <v>1015</v>
      </c>
      <c r="E651" t="s">
        <v>1027</v>
      </c>
      <c r="F651" t="s">
        <v>2731</v>
      </c>
      <c r="G651" t="s">
        <v>2732</v>
      </c>
      <c r="H651" s="13">
        <v>66572264.372000001</v>
      </c>
      <c r="I651" s="14">
        <v>8877718.2899999991</v>
      </c>
      <c r="J651" t="s">
        <v>1052</v>
      </c>
      <c r="K651" s="10">
        <v>3.1419999999999997E-2</v>
      </c>
      <c r="T651" s="10">
        <v>5.0278529411764701E-2</v>
      </c>
      <c r="U651" s="10">
        <v>4.6376730769230767E-2</v>
      </c>
      <c r="V651" s="10">
        <v>4.2780384615384609E-2</v>
      </c>
      <c r="W651" s="10">
        <v>3.839653846153844E-2</v>
      </c>
      <c r="X651" s="10">
        <v>3.5198490566037743E-2</v>
      </c>
      <c r="Y651" s="10">
        <v>3.2288780487804869E-2</v>
      </c>
      <c r="Z651" s="11" t="str">
        <f t="shared" si="10"/>
        <v/>
      </c>
    </row>
    <row r="652" spans="1:26" x14ac:dyDescent="0.3">
      <c r="A652" t="s">
        <v>651</v>
      </c>
      <c r="B652" t="s">
        <v>2733</v>
      </c>
      <c r="C652" t="s">
        <v>2734</v>
      </c>
      <c r="D652" t="s">
        <v>1014</v>
      </c>
      <c r="E652" t="s">
        <v>1027</v>
      </c>
      <c r="F652" t="s">
        <v>1241</v>
      </c>
      <c r="G652" t="s">
        <v>2377</v>
      </c>
      <c r="H652" s="13">
        <v>940060</v>
      </c>
      <c r="I652" s="14">
        <v>8856999.9399999995</v>
      </c>
      <c r="J652" t="s">
        <v>1052</v>
      </c>
      <c r="K652" s="10">
        <v>9.9170200000000008</v>
      </c>
      <c r="M652" s="10">
        <v>6.0554303773584941</v>
      </c>
      <c r="N652" s="10">
        <v>6.6503359615384641</v>
      </c>
      <c r="O652" s="10">
        <v>6.9191169230769214</v>
      </c>
      <c r="P652" s="10">
        <v>7.2747863461538449</v>
      </c>
      <c r="Q652" s="10">
        <v>7.4954634615384554</v>
      </c>
      <c r="R652" s="10">
        <v>7.5339155769230786</v>
      </c>
      <c r="S652" s="10">
        <v>7.750030943396224</v>
      </c>
      <c r="T652" s="10">
        <v>7.9621190384615366</v>
      </c>
      <c r="U652" s="10">
        <v>8.5249194230769163</v>
      </c>
      <c r="V652" s="10">
        <v>8.9228957692307738</v>
      </c>
      <c r="W652" s="10">
        <v>9.3584911538461526</v>
      </c>
      <c r="X652" s="10">
        <v>9.6728647169811346</v>
      </c>
      <c r="Y652" s="10">
        <v>9.9145548780487758</v>
      </c>
      <c r="Z652" s="11">
        <f t="shared" si="10"/>
        <v>0.28390936</v>
      </c>
    </row>
    <row r="653" spans="1:26" x14ac:dyDescent="0.3">
      <c r="A653" t="s">
        <v>652</v>
      </c>
      <c r="B653" t="s">
        <v>2735</v>
      </c>
      <c r="C653" t="s">
        <v>2736</v>
      </c>
      <c r="D653" t="s">
        <v>1014</v>
      </c>
      <c r="E653" t="s">
        <v>1032</v>
      </c>
      <c r="F653" t="s">
        <v>2737</v>
      </c>
      <c r="G653" t="s">
        <v>2738</v>
      </c>
      <c r="H653" s="13">
        <v>3659222</v>
      </c>
      <c r="I653" s="14">
        <v>8837494.4299999997</v>
      </c>
      <c r="J653" t="s">
        <v>1052</v>
      </c>
      <c r="K653" s="10">
        <v>1.67584</v>
      </c>
      <c r="M653" s="10">
        <v>4.741551509433962</v>
      </c>
      <c r="N653" s="10">
        <v>5.2905225000000033</v>
      </c>
      <c r="O653" s="10">
        <v>5.61775</v>
      </c>
      <c r="P653" s="10">
        <v>5.8024726923076919</v>
      </c>
      <c r="Q653" s="10">
        <v>6.5281813461538434</v>
      </c>
      <c r="R653" s="10">
        <v>6.5812146153846154</v>
      </c>
      <c r="S653" s="10">
        <v>5.8786103773584903</v>
      </c>
      <c r="T653" s="10">
        <v>5.2019953846153877</v>
      </c>
      <c r="U653" s="10">
        <v>5.2218388461538501</v>
      </c>
      <c r="V653" s="10">
        <v>5.1974421153846126</v>
      </c>
      <c r="W653" s="10">
        <v>3.6908528846153841</v>
      </c>
      <c r="X653" s="10">
        <v>2.2383456603773602</v>
      </c>
      <c r="Y653" s="10">
        <v>1.776682682926829</v>
      </c>
      <c r="Z653" s="11">
        <f t="shared" si="10"/>
        <v>-0.65988866999999995</v>
      </c>
    </row>
    <row r="654" spans="1:26" x14ac:dyDescent="0.3">
      <c r="A654" t="s">
        <v>653</v>
      </c>
      <c r="B654" t="s">
        <v>2739</v>
      </c>
      <c r="C654" t="s">
        <v>2740</v>
      </c>
      <c r="D654" t="s">
        <v>1015</v>
      </c>
      <c r="E654" t="s">
        <v>1027</v>
      </c>
      <c r="F654" t="s">
        <v>2108</v>
      </c>
      <c r="G654" t="s">
        <v>2741</v>
      </c>
      <c r="H654" s="13">
        <v>39364527.684</v>
      </c>
      <c r="I654" s="14">
        <v>8829271.9700000007</v>
      </c>
      <c r="J654" t="s">
        <v>1052</v>
      </c>
      <c r="K654" s="10">
        <v>5.074E-2</v>
      </c>
      <c r="M654" s="10">
        <v>6.3294528301886754E-2</v>
      </c>
      <c r="N654" s="10">
        <v>5.9741153846153847E-2</v>
      </c>
      <c r="O654" s="10">
        <v>5.7445769230769217E-2</v>
      </c>
      <c r="P654" s="10">
        <v>5.4521153846153823E-2</v>
      </c>
      <c r="Q654" s="10">
        <v>5.3841346153846142E-2</v>
      </c>
      <c r="R654" s="10">
        <v>5.7881923076923067E-2</v>
      </c>
      <c r="S654" s="10">
        <v>6.4713962264150937E-2</v>
      </c>
      <c r="T654" s="10">
        <v>6.2908269230769226E-2</v>
      </c>
      <c r="U654" s="10">
        <v>5.8148076923076927E-2</v>
      </c>
      <c r="V654" s="10">
        <v>5.5965769230769243E-2</v>
      </c>
      <c r="W654" s="10">
        <v>5.2647115384615382E-2</v>
      </c>
      <c r="X654" s="10">
        <v>5.1569811320754742E-2</v>
      </c>
      <c r="Y654" s="10">
        <v>5.0852926829268293E-2</v>
      </c>
      <c r="Z654" s="11">
        <f t="shared" si="10"/>
        <v>-0.10905152</v>
      </c>
    </row>
    <row r="655" spans="1:26" x14ac:dyDescent="0.3">
      <c r="A655" t="s">
        <v>654</v>
      </c>
      <c r="B655" t="s">
        <v>2742</v>
      </c>
      <c r="C655" t="s">
        <v>2743</v>
      </c>
      <c r="D655" t="s">
        <v>1015</v>
      </c>
      <c r="E655" t="s">
        <v>1018</v>
      </c>
      <c r="F655" t="s">
        <v>1610</v>
      </c>
      <c r="G655" t="s">
        <v>2713</v>
      </c>
      <c r="H655" s="13">
        <v>57818434.909999996</v>
      </c>
      <c r="I655" s="14">
        <v>8819355.5299999993</v>
      </c>
      <c r="J655" t="s">
        <v>1052</v>
      </c>
      <c r="K655" s="10">
        <v>2.5360000000000001E-2</v>
      </c>
      <c r="P655" s="10">
        <v>2.4682941176470592E-2</v>
      </c>
      <c r="Q655" s="10">
        <v>2.341E-2</v>
      </c>
      <c r="R655" s="10">
        <v>2.628826923076923E-2</v>
      </c>
      <c r="S655" s="10">
        <v>2.7633773584905649E-2</v>
      </c>
      <c r="T655" s="10">
        <v>2.6888653846153861E-2</v>
      </c>
      <c r="U655" s="10">
        <v>2.590134615384615E-2</v>
      </c>
      <c r="V655" s="10">
        <v>2.602288461538459E-2</v>
      </c>
      <c r="W655" s="10">
        <v>2.4857692307692299E-2</v>
      </c>
      <c r="X655" s="10">
        <v>2.5765471698113211E-2</v>
      </c>
      <c r="Y655" s="10">
        <v>2.5910731707317079E-2</v>
      </c>
      <c r="Z655" s="11">
        <f t="shared" si="10"/>
        <v>-1.9887100000000001E-2</v>
      </c>
    </row>
    <row r="656" spans="1:26" x14ac:dyDescent="0.3">
      <c r="A656" t="s">
        <v>655</v>
      </c>
      <c r="B656" t="s">
        <v>2744</v>
      </c>
      <c r="C656" t="s">
        <v>2745</v>
      </c>
      <c r="D656" t="s">
        <v>1014</v>
      </c>
      <c r="E656" t="s">
        <v>1019</v>
      </c>
      <c r="F656" t="s">
        <v>1123</v>
      </c>
      <c r="G656" t="s">
        <v>1544</v>
      </c>
      <c r="H656" s="13">
        <v>839352.3</v>
      </c>
      <c r="I656" s="14">
        <v>8813994.8900000006</v>
      </c>
      <c r="J656" t="s">
        <v>1061</v>
      </c>
      <c r="K656" s="10">
        <v>10.158289999999999</v>
      </c>
      <c r="R656" s="10">
        <v>34.247893461538453</v>
      </c>
      <c r="S656" s="10">
        <v>33.942565094339614</v>
      </c>
      <c r="T656" s="10">
        <v>34.017972500000013</v>
      </c>
      <c r="U656" s="10">
        <v>34.034034038461527</v>
      </c>
      <c r="V656" s="10">
        <v>33.841362115384577</v>
      </c>
      <c r="W656" s="10">
        <v>10.621672307692309</v>
      </c>
      <c r="X656" s="10">
        <v>10.161768867924531</v>
      </c>
      <c r="Y656" s="10">
        <v>10.16165341463414</v>
      </c>
      <c r="Z656" s="11">
        <f t="shared" si="10"/>
        <v>-0.70328776999999998</v>
      </c>
    </row>
    <row r="657" spans="1:26" x14ac:dyDescent="0.3">
      <c r="A657" t="s">
        <v>656</v>
      </c>
      <c r="B657" t="s">
        <v>2746</v>
      </c>
      <c r="C657" t="s">
        <v>2747</v>
      </c>
      <c r="D657" t="s">
        <v>1014</v>
      </c>
      <c r="E657" t="s">
        <v>1027</v>
      </c>
      <c r="F657" t="s">
        <v>1193</v>
      </c>
      <c r="G657" t="s">
        <v>2491</v>
      </c>
      <c r="H657" s="13">
        <v>736075</v>
      </c>
      <c r="I657" s="14">
        <v>8798688</v>
      </c>
      <c r="J657" t="s">
        <v>1052</v>
      </c>
      <c r="K657" s="10">
        <v>12.051220000000001</v>
      </c>
      <c r="M657" s="10">
        <v>9.3617116981132114</v>
      </c>
      <c r="N657" s="10">
        <v>11.74222634615384</v>
      </c>
      <c r="O657" s="10">
        <v>13.954495192307689</v>
      </c>
      <c r="P657" s="10">
        <v>14.784197884615381</v>
      </c>
      <c r="Q657" s="10">
        <v>16.161798461538449</v>
      </c>
      <c r="R657" s="10">
        <v>16.710246730769249</v>
      </c>
      <c r="S657" s="10">
        <v>17.15069999999999</v>
      </c>
      <c r="T657" s="10">
        <v>18.02534692307691</v>
      </c>
      <c r="U657" s="10">
        <v>19.265359230769231</v>
      </c>
      <c r="V657" s="10">
        <v>20.643278269230791</v>
      </c>
      <c r="W657" s="10">
        <v>11.760106538461541</v>
      </c>
      <c r="X657" s="10">
        <v>12.081719811320751</v>
      </c>
      <c r="Y657" s="10">
        <v>12.06196268292682</v>
      </c>
      <c r="Z657" s="11">
        <f t="shared" si="10"/>
        <v>-0.27698735000000002</v>
      </c>
    </row>
    <row r="658" spans="1:26" x14ac:dyDescent="0.3">
      <c r="A658" t="s">
        <v>657</v>
      </c>
      <c r="B658" t="s">
        <v>2748</v>
      </c>
      <c r="C658" t="s">
        <v>2749</v>
      </c>
      <c r="D658" t="s">
        <v>1014</v>
      </c>
      <c r="E658" t="s">
        <v>1027</v>
      </c>
      <c r="F658" t="s">
        <v>1270</v>
      </c>
      <c r="G658" t="s">
        <v>1271</v>
      </c>
      <c r="H658" s="13">
        <v>700148</v>
      </c>
      <c r="I658" s="14">
        <v>8790822.6899999995</v>
      </c>
      <c r="J658" t="s">
        <v>1052</v>
      </c>
      <c r="K658" s="10">
        <v>12.349069999999999</v>
      </c>
      <c r="R658" s="10">
        <v>9.6013049999999982</v>
      </c>
      <c r="S658" s="10">
        <v>10.18743471698113</v>
      </c>
      <c r="T658" s="10">
        <v>10.66515211538462</v>
      </c>
      <c r="U658" s="10">
        <v>11.25491384615383</v>
      </c>
      <c r="V658" s="10">
        <v>11.818497884615381</v>
      </c>
      <c r="W658" s="10">
        <v>12.402109038461539</v>
      </c>
      <c r="X658" s="10">
        <v>12.37535018867924</v>
      </c>
      <c r="Y658" s="10">
        <v>12.348588536585369</v>
      </c>
      <c r="Z658" s="11">
        <f t="shared" si="10"/>
        <v>0.28892375999999997</v>
      </c>
    </row>
    <row r="659" spans="1:26" x14ac:dyDescent="0.3">
      <c r="A659" t="s">
        <v>658</v>
      </c>
      <c r="B659" t="s">
        <v>2750</v>
      </c>
      <c r="C659" t="s">
        <v>2751</v>
      </c>
      <c r="D659" t="s">
        <v>1014</v>
      </c>
      <c r="E659" t="s">
        <v>1027</v>
      </c>
      <c r="F659" t="s">
        <v>1984</v>
      </c>
      <c r="G659" t="s">
        <v>1985</v>
      </c>
      <c r="H659" s="13">
        <v>224514.64</v>
      </c>
      <c r="I659" s="14">
        <v>8773203.9900000002</v>
      </c>
      <c r="J659" t="s">
        <v>1052</v>
      </c>
      <c r="K659" s="10">
        <v>39.109630000000003</v>
      </c>
      <c r="W659" s="10">
        <v>39.279091276595722</v>
      </c>
      <c r="X659" s="10">
        <v>39.239296792452841</v>
      </c>
      <c r="Y659" s="10">
        <v>39.163313414634118</v>
      </c>
      <c r="Z659" s="11" t="str">
        <f t="shared" si="10"/>
        <v/>
      </c>
    </row>
    <row r="660" spans="1:26" x14ac:dyDescent="0.3">
      <c r="A660" t="s">
        <v>659</v>
      </c>
      <c r="B660" t="s">
        <v>2752</v>
      </c>
      <c r="C660" t="s">
        <v>2753</v>
      </c>
      <c r="D660" t="s">
        <v>1015</v>
      </c>
      <c r="E660" t="s">
        <v>1032</v>
      </c>
      <c r="F660" t="s">
        <v>2584</v>
      </c>
      <c r="G660" t="s">
        <v>2754</v>
      </c>
      <c r="H660" s="13">
        <v>52468485.774999999</v>
      </c>
      <c r="I660" s="14">
        <v>8753773.4800000004</v>
      </c>
      <c r="J660" t="s">
        <v>1061</v>
      </c>
      <c r="K660" s="10">
        <v>0.11321000000000001</v>
      </c>
      <c r="M660" s="10">
        <v>5.3655555555555547E-2</v>
      </c>
      <c r="N660" s="10">
        <v>5.4718846153846132E-2</v>
      </c>
      <c r="O660" s="10">
        <v>5.4258846153846137E-2</v>
      </c>
      <c r="P660" s="10">
        <v>4.4685576923076932E-2</v>
      </c>
      <c r="Q660" s="10">
        <v>4.2045576923076908E-2</v>
      </c>
      <c r="R660" s="10">
        <v>4.0052499999999998E-2</v>
      </c>
      <c r="S660" s="10">
        <v>4.2246415094339629E-2</v>
      </c>
      <c r="T660" s="10">
        <v>6.1819999999999993E-2</v>
      </c>
      <c r="U660" s="10">
        <v>7.2723653846153841E-2</v>
      </c>
      <c r="V660" s="10">
        <v>6.3986808510638302E-2</v>
      </c>
      <c r="X660" s="10">
        <v>0.16283754716981119</v>
      </c>
      <c r="Y660" s="10">
        <v>0.12018341463414629</v>
      </c>
      <c r="Z660" s="11">
        <f t="shared" si="10"/>
        <v>3.0656025800000002</v>
      </c>
    </row>
    <row r="661" spans="1:26" x14ac:dyDescent="0.3">
      <c r="A661" t="s">
        <v>660</v>
      </c>
      <c r="B661" t="s">
        <v>2755</v>
      </c>
      <c r="C661" t="s">
        <v>2756</v>
      </c>
      <c r="D661" t="s">
        <v>1015</v>
      </c>
      <c r="E661" t="s">
        <v>1030</v>
      </c>
      <c r="F661" t="s">
        <v>2677</v>
      </c>
      <c r="G661" t="s">
        <v>2757</v>
      </c>
      <c r="H661" s="13">
        <v>48331539.658</v>
      </c>
      <c r="I661" s="14">
        <v>8731388.2699999996</v>
      </c>
      <c r="J661" t="s">
        <v>1052</v>
      </c>
      <c r="K661" s="10">
        <v>2.333E-2</v>
      </c>
      <c r="T661" s="10">
        <v>2.2737272727272731E-2</v>
      </c>
      <c r="U661" s="10">
        <v>2.3329807692307691E-2</v>
      </c>
      <c r="V661" s="10">
        <v>2.3541923076923078E-2</v>
      </c>
      <c r="W661" s="10">
        <v>2.4246153846153841E-2</v>
      </c>
      <c r="X661" s="10">
        <v>2.5434716981132081E-2</v>
      </c>
      <c r="Y661" s="10">
        <v>2.5186341463414631E-2</v>
      </c>
      <c r="Z661" s="11" t="str">
        <f t="shared" si="10"/>
        <v/>
      </c>
    </row>
    <row r="662" spans="1:26" x14ac:dyDescent="0.3">
      <c r="A662" t="s">
        <v>661</v>
      </c>
      <c r="B662" t="s">
        <v>2758</v>
      </c>
      <c r="C662" t="s">
        <v>2759</v>
      </c>
      <c r="D662" t="s">
        <v>1015</v>
      </c>
      <c r="E662" t="s">
        <v>1018</v>
      </c>
      <c r="F662" t="s">
        <v>2108</v>
      </c>
      <c r="G662" t="s">
        <v>2760</v>
      </c>
      <c r="H662" s="13">
        <v>35899213</v>
      </c>
      <c r="I662" s="14">
        <v>8705204.5800000001</v>
      </c>
      <c r="J662" t="s">
        <v>1052</v>
      </c>
      <c r="K662" s="10">
        <v>4.9970000000000001E-2</v>
      </c>
      <c r="M662" s="10">
        <v>0.22552761904761909</v>
      </c>
      <c r="N662" s="10">
        <v>0.41006653846153851</v>
      </c>
      <c r="O662" s="10">
        <v>0.21891423076923081</v>
      </c>
      <c r="P662" s="10">
        <v>0.13936499999999999</v>
      </c>
      <c r="Q662" s="10">
        <v>0.1013771153846154</v>
      </c>
      <c r="R662" s="10">
        <v>8.7334615384615386E-2</v>
      </c>
      <c r="S662" s="10">
        <v>7.4137924528301896E-2</v>
      </c>
      <c r="T662" s="10">
        <v>6.4519038461538447E-2</v>
      </c>
      <c r="U662" s="10">
        <v>5.9412500000000007E-2</v>
      </c>
      <c r="V662" s="10">
        <v>5.7843653846153871E-2</v>
      </c>
      <c r="W662" s="10">
        <v>5.1574230769230768E-2</v>
      </c>
      <c r="X662" s="10">
        <v>5.1915471698113218E-2</v>
      </c>
      <c r="Y662" s="10">
        <v>5.065926829268292E-2</v>
      </c>
      <c r="Z662" s="11">
        <f t="shared" si="10"/>
        <v>-0.40555676000000002</v>
      </c>
    </row>
    <row r="663" spans="1:26" x14ac:dyDescent="0.3">
      <c r="A663" t="s">
        <v>662</v>
      </c>
      <c r="B663" t="s">
        <v>2761</v>
      </c>
      <c r="C663" t="s">
        <v>2762</v>
      </c>
      <c r="D663" t="s">
        <v>1014</v>
      </c>
      <c r="E663" t="s">
        <v>1020</v>
      </c>
      <c r="F663" t="s">
        <v>1055</v>
      </c>
      <c r="G663" t="s">
        <v>1999</v>
      </c>
      <c r="H663" s="13">
        <v>12856.95</v>
      </c>
      <c r="I663" s="14">
        <v>8699791.8000000007</v>
      </c>
      <c r="J663" t="s">
        <v>1052</v>
      </c>
      <c r="K663" s="10">
        <v>2174.1678000000002</v>
      </c>
      <c r="N663" s="10">
        <v>1104.5833</v>
      </c>
      <c r="O663" s="10">
        <v>1179.309811153847</v>
      </c>
      <c r="P663" s="10">
        <v>1262.9642032692309</v>
      </c>
      <c r="Q663" s="10">
        <v>1409.898570576923</v>
      </c>
      <c r="R663" s="10">
        <v>1498.1066748076919</v>
      </c>
      <c r="S663" s="10">
        <v>1608.680942830189</v>
      </c>
      <c r="T663" s="10">
        <v>1708.7224907692321</v>
      </c>
      <c r="U663" s="10">
        <v>1791.111679600001</v>
      </c>
      <c r="V663" s="10">
        <v>1882.4623232692311</v>
      </c>
      <c r="W663" s="10">
        <v>1970.4216834615379</v>
      </c>
      <c r="X663" s="10">
        <v>2065.2450254716982</v>
      </c>
      <c r="Y663" s="10">
        <v>2171.6426341463421</v>
      </c>
      <c r="Z663" s="11">
        <f t="shared" si="10"/>
        <v>0.37857006999999998</v>
      </c>
    </row>
    <row r="664" spans="1:26" x14ac:dyDescent="0.3">
      <c r="A664" t="s">
        <v>663</v>
      </c>
      <c r="B664" t="s">
        <v>2763</v>
      </c>
      <c r="C664" t="s">
        <v>2061</v>
      </c>
      <c r="D664" t="s">
        <v>1015</v>
      </c>
      <c r="E664" t="s">
        <v>1018</v>
      </c>
      <c r="F664" t="s">
        <v>2764</v>
      </c>
      <c r="G664" t="s">
        <v>2063</v>
      </c>
      <c r="H664" s="13">
        <v>40084533.799999997</v>
      </c>
      <c r="I664" s="14">
        <v>8613644.8000000007</v>
      </c>
      <c r="J664" t="s">
        <v>1052</v>
      </c>
      <c r="K664" s="10">
        <v>1.418E-2</v>
      </c>
      <c r="Q664" s="10">
        <v>1.399633333333334E-2</v>
      </c>
      <c r="R664" s="10">
        <v>1.4410961538461539E-2</v>
      </c>
      <c r="S664" s="10">
        <v>1.4566603773584911E-2</v>
      </c>
      <c r="T664" s="10">
        <v>1.4605576923076921E-2</v>
      </c>
      <c r="U664" s="10">
        <v>1.481211538461538E-2</v>
      </c>
      <c r="V664" s="10">
        <v>1.522019230769229E-2</v>
      </c>
      <c r="W664" s="10">
        <v>1.3686923076923079E-2</v>
      </c>
      <c r="X664" s="10">
        <v>1.465301886792454E-2</v>
      </c>
      <c r="Y664" s="10">
        <v>1.442829268292683E-2</v>
      </c>
      <c r="Z664" s="11">
        <f t="shared" si="10"/>
        <v>1.6796749999999999E-2</v>
      </c>
    </row>
    <row r="665" spans="1:26" x14ac:dyDescent="0.3">
      <c r="A665" t="s">
        <v>664</v>
      </c>
      <c r="B665" t="s">
        <v>2765</v>
      </c>
      <c r="C665" t="s">
        <v>2766</v>
      </c>
      <c r="D665" t="s">
        <v>1015</v>
      </c>
      <c r="E665" t="s">
        <v>1027</v>
      </c>
      <c r="F665" t="s">
        <v>2767</v>
      </c>
      <c r="G665" t="s">
        <v>2768</v>
      </c>
      <c r="H665" s="13">
        <v>74035739.349999994</v>
      </c>
      <c r="I665" s="14">
        <v>8584314.6500000004</v>
      </c>
      <c r="J665" t="s">
        <v>1061</v>
      </c>
      <c r="K665" s="10">
        <v>6.8239999999999995E-2</v>
      </c>
      <c r="P665" s="10">
        <v>0.13449176470588231</v>
      </c>
      <c r="Q665" s="10">
        <v>0.10151410256410261</v>
      </c>
      <c r="R665" s="10">
        <v>7.5921923076923095E-2</v>
      </c>
      <c r="S665" s="10">
        <v>7.1436226415094339E-2</v>
      </c>
      <c r="T665" s="10">
        <v>6.5245576923076962E-2</v>
      </c>
      <c r="U665" s="10">
        <v>5.5924230769230782E-2</v>
      </c>
      <c r="V665" s="10">
        <v>7.190288461538466E-2</v>
      </c>
      <c r="W665" s="10">
        <v>9.2861730769230738E-2</v>
      </c>
      <c r="X665" s="10">
        <v>8.6617358490566024E-2</v>
      </c>
      <c r="Y665" s="10">
        <v>7.2977560975609757E-2</v>
      </c>
      <c r="Z665" s="11">
        <f t="shared" si="10"/>
        <v>0.14087414000000001</v>
      </c>
    </row>
    <row r="666" spans="1:26" x14ac:dyDescent="0.3">
      <c r="A666" t="s">
        <v>665</v>
      </c>
      <c r="B666" t="s">
        <v>2769</v>
      </c>
      <c r="C666" t="s">
        <v>2770</v>
      </c>
      <c r="D666" t="s">
        <v>1015</v>
      </c>
      <c r="E666" t="s">
        <v>1032</v>
      </c>
      <c r="F666" t="s">
        <v>1363</v>
      </c>
      <c r="G666" t="s">
        <v>2337</v>
      </c>
      <c r="H666" s="13">
        <v>263580</v>
      </c>
      <c r="I666" s="14">
        <v>8580751.5600000005</v>
      </c>
      <c r="J666" t="s">
        <v>1163</v>
      </c>
      <c r="K666" s="10">
        <v>26.745979999999999</v>
      </c>
      <c r="W666" s="10">
        <v>26.392840576923099</v>
      </c>
      <c r="X666" s="10">
        <v>26.973266792452829</v>
      </c>
      <c r="Y666" s="10">
        <v>26.96541585365852</v>
      </c>
      <c r="Z666" s="11" t="str">
        <f t="shared" si="10"/>
        <v/>
      </c>
    </row>
    <row r="667" spans="1:26" x14ac:dyDescent="0.3">
      <c r="A667" t="s">
        <v>666</v>
      </c>
      <c r="B667" t="s">
        <v>2771</v>
      </c>
      <c r="C667" t="s">
        <v>2672</v>
      </c>
      <c r="D667" t="s">
        <v>1015</v>
      </c>
      <c r="E667" t="s">
        <v>1029</v>
      </c>
      <c r="F667" t="s">
        <v>2772</v>
      </c>
      <c r="G667" t="s">
        <v>2674</v>
      </c>
      <c r="H667" s="13">
        <v>39128627.545999996</v>
      </c>
      <c r="I667" s="14">
        <v>8575655.4499999993</v>
      </c>
      <c r="J667" t="s">
        <v>1052</v>
      </c>
      <c r="K667" s="10">
        <v>2.0129999999999999E-2</v>
      </c>
      <c r="O667" s="10">
        <v>1.7139999999999999E-2</v>
      </c>
      <c r="P667" s="10">
        <v>1.690538461538461E-2</v>
      </c>
      <c r="Q667" s="10">
        <v>2.2469230769230769E-2</v>
      </c>
      <c r="R667" s="10">
        <v>2.5068269230769231E-2</v>
      </c>
      <c r="S667" s="10">
        <v>2.357169811320755E-2</v>
      </c>
      <c r="T667" s="10">
        <v>2.418807692307693E-2</v>
      </c>
      <c r="U667" s="10">
        <v>2.8688653846153839E-2</v>
      </c>
      <c r="V667" s="10">
        <v>2.872326923076924E-2</v>
      </c>
      <c r="W667" s="10">
        <v>2.4180769230769231E-2</v>
      </c>
      <c r="X667" s="10">
        <v>2.2453018867924529E-2</v>
      </c>
      <c r="Y667" s="10">
        <v>1.9793414634146338E-2</v>
      </c>
      <c r="Z667" s="11">
        <f t="shared" si="10"/>
        <v>-0.10432513</v>
      </c>
    </row>
    <row r="668" spans="1:26" x14ac:dyDescent="0.3">
      <c r="A668" t="s">
        <v>667</v>
      </c>
      <c r="B668" t="s">
        <v>2773</v>
      </c>
      <c r="C668" t="s">
        <v>2774</v>
      </c>
      <c r="D668" t="s">
        <v>1014</v>
      </c>
      <c r="E668" t="s">
        <v>1027</v>
      </c>
      <c r="F668" t="s">
        <v>1241</v>
      </c>
      <c r="G668" t="s">
        <v>2274</v>
      </c>
      <c r="H668" s="13">
        <v>487303.6</v>
      </c>
      <c r="I668" s="14">
        <v>8549564.7300000004</v>
      </c>
      <c r="J668" t="s">
        <v>1052</v>
      </c>
      <c r="K668" s="10">
        <v>18.536619999999999</v>
      </c>
      <c r="M668" s="10">
        <v>9.4083503773584969</v>
      </c>
      <c r="N668" s="10">
        <v>10.143658653846151</v>
      </c>
      <c r="O668" s="10">
        <v>11.04434826923077</v>
      </c>
      <c r="P668" s="10">
        <v>12.06798365384615</v>
      </c>
      <c r="Q668" s="10">
        <v>12.89618980769232</v>
      </c>
      <c r="R668" s="10">
        <v>13.822148653846151</v>
      </c>
      <c r="S668" s="10">
        <v>14.21369754716982</v>
      </c>
      <c r="T668" s="10">
        <v>14.93953673076922</v>
      </c>
      <c r="U668" s="10">
        <v>15.93236884615386</v>
      </c>
      <c r="V668" s="10">
        <v>16.862950192307679</v>
      </c>
      <c r="W668" s="10">
        <v>17.604524999999992</v>
      </c>
      <c r="X668" s="10">
        <v>18.043581320754718</v>
      </c>
      <c r="Y668" s="10">
        <v>18.528926585365859</v>
      </c>
      <c r="Z668" s="11">
        <f t="shared" si="10"/>
        <v>0.30541074000000001</v>
      </c>
    </row>
    <row r="669" spans="1:26" x14ac:dyDescent="0.3">
      <c r="A669" t="s">
        <v>668</v>
      </c>
      <c r="B669" t="s">
        <v>2775</v>
      </c>
      <c r="C669" t="s">
        <v>2776</v>
      </c>
      <c r="D669" t="s">
        <v>1014</v>
      </c>
      <c r="E669" t="s">
        <v>1024</v>
      </c>
      <c r="F669" t="s">
        <v>1055</v>
      </c>
      <c r="G669" t="s">
        <v>2777</v>
      </c>
      <c r="H669" s="13">
        <v>464939.614</v>
      </c>
      <c r="I669" s="14">
        <v>8528362.0399999991</v>
      </c>
      <c r="J669" t="s">
        <v>1061</v>
      </c>
      <c r="K669" s="10">
        <v>18.889810000000001</v>
      </c>
      <c r="X669" s="10">
        <v>18.02568584905659</v>
      </c>
      <c r="Y669" s="10">
        <v>18.871902195121951</v>
      </c>
      <c r="Z669" s="11" t="str">
        <f t="shared" si="10"/>
        <v/>
      </c>
    </row>
    <row r="670" spans="1:26" x14ac:dyDescent="0.3">
      <c r="A670" t="s">
        <v>669</v>
      </c>
      <c r="B670" t="s">
        <v>2778</v>
      </c>
      <c r="C670" t="s">
        <v>2779</v>
      </c>
      <c r="D670" t="s">
        <v>1016</v>
      </c>
      <c r="E670" t="s">
        <v>1027</v>
      </c>
      <c r="F670" t="s">
        <v>1382</v>
      </c>
      <c r="G670" t="s">
        <v>2617</v>
      </c>
      <c r="H670" s="13">
        <v>857152</v>
      </c>
      <c r="I670" s="14">
        <v>8520952.5999999996</v>
      </c>
      <c r="J670" t="s">
        <v>1052</v>
      </c>
      <c r="K670" s="10">
        <v>12.20487</v>
      </c>
      <c r="M670" s="10">
        <v>4.4860633333333348</v>
      </c>
      <c r="N670" s="10">
        <v>4.7849386538461536</v>
      </c>
      <c r="O670" s="10">
        <v>5.1723390384615344</v>
      </c>
      <c r="P670" s="10">
        <v>5.6717661538461579</v>
      </c>
      <c r="Q670" s="10">
        <v>6.0115546153846147</v>
      </c>
      <c r="R670" s="10">
        <v>6.7441390384615412</v>
      </c>
      <c r="S670" s="10">
        <v>7.1717673584905679</v>
      </c>
      <c r="T670" s="10">
        <v>7.8303817307692318</v>
      </c>
      <c r="U670" s="10">
        <v>8.6042407692307741</v>
      </c>
      <c r="V670" s="10">
        <v>9.4001515384615271</v>
      </c>
      <c r="W670" s="10">
        <v>10.250798269230771</v>
      </c>
      <c r="X670" s="10">
        <v>11.18626603773586</v>
      </c>
      <c r="Y670" s="10">
        <v>12.20864292682927</v>
      </c>
      <c r="Z670" s="11">
        <f t="shared" si="10"/>
        <v>0.65866480000000005</v>
      </c>
    </row>
    <row r="671" spans="1:26" x14ac:dyDescent="0.3">
      <c r="A671" t="s">
        <v>670</v>
      </c>
      <c r="B671" t="s">
        <v>2780</v>
      </c>
      <c r="C671" t="s">
        <v>2354</v>
      </c>
      <c r="D671" t="s">
        <v>1015</v>
      </c>
      <c r="E671" t="s">
        <v>1032</v>
      </c>
      <c r="F671" t="s">
        <v>2781</v>
      </c>
      <c r="G671" t="s">
        <v>1611</v>
      </c>
      <c r="H671" s="13">
        <v>69629518.272</v>
      </c>
      <c r="I671" s="14">
        <v>8440989.6799999997</v>
      </c>
      <c r="J671" t="s">
        <v>1061</v>
      </c>
      <c r="K671" s="10">
        <v>6.0440000000000001E-2</v>
      </c>
      <c r="M671" s="10">
        <v>4.4012264150943413E-2</v>
      </c>
      <c r="N671" s="10">
        <v>4.2466346153846153E-2</v>
      </c>
      <c r="O671" s="10">
        <v>4.1497884615384617E-2</v>
      </c>
      <c r="P671" s="10">
        <v>3.7414807692307699E-2</v>
      </c>
      <c r="Q671" s="10">
        <v>3.6895384615384622E-2</v>
      </c>
      <c r="R671" s="10">
        <v>3.7625384615384623E-2</v>
      </c>
      <c r="S671" s="10">
        <v>4.1105849056603777E-2</v>
      </c>
      <c r="T671" s="10">
        <v>4.2176538461538453E-2</v>
      </c>
      <c r="U671" s="10">
        <v>4.2294230769230771E-2</v>
      </c>
      <c r="V671" s="10">
        <v>5.7500961538461577E-2</v>
      </c>
      <c r="W671" s="10">
        <v>6.2781153846153875E-2</v>
      </c>
      <c r="X671" s="10">
        <v>6.1430566037735883E-2</v>
      </c>
      <c r="Y671" s="10">
        <v>5.9888048780487778E-2</v>
      </c>
      <c r="Z671" s="11">
        <f t="shared" si="10"/>
        <v>0.63268937999999997</v>
      </c>
    </row>
    <row r="672" spans="1:26" x14ac:dyDescent="0.3">
      <c r="A672" t="s">
        <v>671</v>
      </c>
      <c r="B672" t="s">
        <v>2782</v>
      </c>
      <c r="C672" t="s">
        <v>2287</v>
      </c>
      <c r="D672" t="s">
        <v>1015</v>
      </c>
      <c r="E672" t="s">
        <v>1026</v>
      </c>
      <c r="F672" t="s">
        <v>2783</v>
      </c>
      <c r="G672" t="s">
        <v>2289</v>
      </c>
      <c r="H672" s="13">
        <v>21072725.706</v>
      </c>
      <c r="I672" s="14">
        <v>8418904.7200000007</v>
      </c>
      <c r="J672" t="s">
        <v>1061</v>
      </c>
      <c r="K672" s="10">
        <v>0.14964</v>
      </c>
      <c r="V672" s="10">
        <v>0.32258590909090912</v>
      </c>
      <c r="W672" s="10">
        <v>0.211996923076923</v>
      </c>
      <c r="X672" s="10">
        <v>0.18178886792452831</v>
      </c>
      <c r="Y672" s="10">
        <v>0.1550634146341463</v>
      </c>
      <c r="Z672" s="11" t="str">
        <f t="shared" si="10"/>
        <v/>
      </c>
    </row>
    <row r="673" spans="1:26" x14ac:dyDescent="0.3">
      <c r="A673" t="s">
        <v>672</v>
      </c>
      <c r="B673" t="s">
        <v>2784</v>
      </c>
      <c r="C673" t="s">
        <v>2785</v>
      </c>
      <c r="D673" t="s">
        <v>1014</v>
      </c>
      <c r="E673" t="s">
        <v>1030</v>
      </c>
      <c r="F673" t="s">
        <v>2651</v>
      </c>
      <c r="G673" t="s">
        <v>2652</v>
      </c>
      <c r="H673" s="13">
        <v>545175</v>
      </c>
      <c r="I673" s="14">
        <v>8411980.2899999991</v>
      </c>
      <c r="J673" t="s">
        <v>1052</v>
      </c>
      <c r="K673" s="10">
        <v>16.1142</v>
      </c>
      <c r="Q673" s="10">
        <v>10.29515346153846</v>
      </c>
      <c r="R673" s="10">
        <v>11.16977</v>
      </c>
      <c r="S673" s="10">
        <v>11.862733207547169</v>
      </c>
      <c r="T673" s="10">
        <v>12.487949038461529</v>
      </c>
      <c r="U673" s="10">
        <v>13.12732000000001</v>
      </c>
      <c r="V673" s="10">
        <v>13.771034423076919</v>
      </c>
      <c r="W673" s="10">
        <v>14.584819423076929</v>
      </c>
      <c r="X673" s="10">
        <v>15.362950566037741</v>
      </c>
      <c r="Y673" s="10">
        <v>16.104546829268291</v>
      </c>
      <c r="Z673" s="11">
        <f t="shared" si="10"/>
        <v>0.37540437999999998</v>
      </c>
    </row>
    <row r="674" spans="1:26" x14ac:dyDescent="0.3">
      <c r="A674" t="s">
        <v>673</v>
      </c>
      <c r="B674" t="s">
        <v>2786</v>
      </c>
      <c r="C674" t="s">
        <v>1752</v>
      </c>
      <c r="D674" t="s">
        <v>1015</v>
      </c>
      <c r="E674" t="s">
        <v>1030</v>
      </c>
      <c r="F674" t="s">
        <v>2787</v>
      </c>
      <c r="G674" t="s">
        <v>1619</v>
      </c>
      <c r="H674" s="13">
        <v>4282275.5</v>
      </c>
      <c r="I674" s="14">
        <v>8333998.0800000001</v>
      </c>
      <c r="J674" t="s">
        <v>1052</v>
      </c>
      <c r="K674" s="10">
        <v>0.66281999999999996</v>
      </c>
      <c r="T674" s="10">
        <v>1.015336363636363</v>
      </c>
      <c r="U674" s="10">
        <v>1.0268371153846161</v>
      </c>
      <c r="V674" s="10">
        <v>0.99031288461538469</v>
      </c>
      <c r="W674" s="10">
        <v>0.87680134615384575</v>
      </c>
      <c r="X674" s="10">
        <v>0.72262188679245276</v>
      </c>
      <c r="Y674" s="10">
        <v>0.66755682926829296</v>
      </c>
      <c r="Z674" s="11" t="str">
        <f t="shared" si="10"/>
        <v/>
      </c>
    </row>
    <row r="675" spans="1:26" x14ac:dyDescent="0.3">
      <c r="A675" t="s">
        <v>674</v>
      </c>
      <c r="B675" t="s">
        <v>2788</v>
      </c>
      <c r="C675" t="s">
        <v>2789</v>
      </c>
      <c r="D675" t="s">
        <v>1015</v>
      </c>
      <c r="E675" t="s">
        <v>1019</v>
      </c>
      <c r="F675" t="s">
        <v>2790</v>
      </c>
      <c r="G675" t="s">
        <v>1955</v>
      </c>
      <c r="H675" s="13">
        <v>71765071</v>
      </c>
      <c r="I675" s="14">
        <v>8317001.04</v>
      </c>
      <c r="J675" t="s">
        <v>1052</v>
      </c>
      <c r="K675" s="10">
        <v>2.8379999999999999E-2</v>
      </c>
      <c r="S675" s="10">
        <v>3.4984339622641518E-2</v>
      </c>
      <c r="T675" s="10">
        <v>3.6641153846153837E-2</v>
      </c>
      <c r="U675" s="10">
        <v>3.8212500000000003E-2</v>
      </c>
      <c r="V675" s="10">
        <v>3.3099807692307671E-2</v>
      </c>
      <c r="W675" s="10">
        <v>2.998E-2</v>
      </c>
      <c r="X675" s="10">
        <v>2.905320754716981E-2</v>
      </c>
      <c r="Y675" s="10">
        <v>2.9276097560975631E-2</v>
      </c>
      <c r="Z675" s="11" t="str">
        <f t="shared" si="10"/>
        <v/>
      </c>
    </row>
    <row r="676" spans="1:26" x14ac:dyDescent="0.3">
      <c r="A676" t="s">
        <v>675</v>
      </c>
      <c r="B676" t="s">
        <v>2791</v>
      </c>
      <c r="C676" t="s">
        <v>1752</v>
      </c>
      <c r="D676" t="s">
        <v>1015</v>
      </c>
      <c r="E676" t="s">
        <v>1030</v>
      </c>
      <c r="F676" t="s">
        <v>2049</v>
      </c>
      <c r="G676" t="s">
        <v>1619</v>
      </c>
      <c r="H676" s="13">
        <v>7837501.5</v>
      </c>
      <c r="I676" s="14">
        <v>8290576.5599999996</v>
      </c>
      <c r="J676" t="s">
        <v>1052</v>
      </c>
      <c r="K676" s="10">
        <v>0.66281999999999996</v>
      </c>
      <c r="M676" s="10">
        <v>6.0624673584905668</v>
      </c>
      <c r="N676" s="10">
        <v>5.4052905769230781</v>
      </c>
      <c r="O676" s="10">
        <v>4.7915128846153836</v>
      </c>
      <c r="P676" s="10">
        <v>3.8636271153846171</v>
      </c>
      <c r="Q676" s="10">
        <v>2.4686123076923079</v>
      </c>
      <c r="R676" s="10">
        <v>1.7868136538461541</v>
      </c>
      <c r="S676" s="10">
        <v>1.4143775471698119</v>
      </c>
      <c r="T676" s="10">
        <v>1.1059600000000001</v>
      </c>
      <c r="U676" s="10">
        <v>1.0268371153846161</v>
      </c>
      <c r="V676" s="10">
        <v>0.99031288461538469</v>
      </c>
      <c r="W676" s="10">
        <v>0.87680134615384575</v>
      </c>
      <c r="X676" s="10">
        <v>0.72262188679245276</v>
      </c>
      <c r="Y676" s="10">
        <v>0.66755682926829296</v>
      </c>
      <c r="Z676" s="11">
        <f t="shared" si="10"/>
        <v>-0.59558071999999995</v>
      </c>
    </row>
    <row r="677" spans="1:26" x14ac:dyDescent="0.3">
      <c r="A677" t="s">
        <v>676</v>
      </c>
      <c r="B677" t="s">
        <v>2792</v>
      </c>
      <c r="C677" t="s">
        <v>2123</v>
      </c>
      <c r="D677" t="s">
        <v>1015</v>
      </c>
      <c r="E677" t="s">
        <v>1028</v>
      </c>
      <c r="F677" t="s">
        <v>2052</v>
      </c>
      <c r="G677" t="s">
        <v>2124</v>
      </c>
      <c r="H677" s="13">
        <v>48263</v>
      </c>
      <c r="I677" s="14">
        <v>8280529.0499999998</v>
      </c>
      <c r="J677" t="s">
        <v>1052</v>
      </c>
      <c r="K677" s="10">
        <v>26.45683</v>
      </c>
      <c r="X677" s="10">
        <v>175.03071</v>
      </c>
      <c r="Y677" s="10">
        <v>27.810285853658549</v>
      </c>
      <c r="Z677" s="11" t="str">
        <f t="shared" si="10"/>
        <v/>
      </c>
    </row>
    <row r="678" spans="1:26" x14ac:dyDescent="0.3">
      <c r="A678" t="s">
        <v>677</v>
      </c>
      <c r="B678" t="s">
        <v>2793</v>
      </c>
      <c r="C678" t="s">
        <v>2294</v>
      </c>
      <c r="D678" t="s">
        <v>1015</v>
      </c>
      <c r="E678" t="s">
        <v>1019</v>
      </c>
      <c r="F678" t="s">
        <v>1608</v>
      </c>
      <c r="G678" t="s">
        <v>1930</v>
      </c>
      <c r="H678" s="13">
        <v>148918</v>
      </c>
      <c r="I678" s="14">
        <v>8270903.7199999997</v>
      </c>
      <c r="J678" t="s">
        <v>1061</v>
      </c>
      <c r="K678" s="10">
        <v>31.406169999999999</v>
      </c>
      <c r="X678" s="10">
        <v>63.774422291666653</v>
      </c>
      <c r="Y678" s="10">
        <v>40.861106585365853</v>
      </c>
      <c r="Z678" s="11" t="str">
        <f t="shared" si="10"/>
        <v/>
      </c>
    </row>
    <row r="679" spans="1:26" x14ac:dyDescent="0.3">
      <c r="A679" t="s">
        <v>678</v>
      </c>
      <c r="B679" t="s">
        <v>2794</v>
      </c>
      <c r="C679" t="s">
        <v>2795</v>
      </c>
      <c r="D679" t="s">
        <v>1014</v>
      </c>
      <c r="E679" t="s">
        <v>1030</v>
      </c>
      <c r="F679" t="s">
        <v>2279</v>
      </c>
      <c r="G679" t="s">
        <v>2566</v>
      </c>
      <c r="H679" s="13">
        <v>65031</v>
      </c>
      <c r="I679" s="14">
        <v>8243366.6500000004</v>
      </c>
      <c r="J679" t="s">
        <v>1052</v>
      </c>
      <c r="K679" s="10">
        <v>124.62313</v>
      </c>
      <c r="M679" s="10">
        <v>86.102149999999966</v>
      </c>
      <c r="N679" s="10">
        <v>100.3013780769232</v>
      </c>
      <c r="O679" s="10">
        <v>114.9164126923077</v>
      </c>
      <c r="P679" s="10">
        <v>127.5158403846155</v>
      </c>
      <c r="Q679" s="10">
        <v>138.6871221153846</v>
      </c>
      <c r="R679" s="10">
        <v>152.28787326923089</v>
      </c>
      <c r="S679" s="10">
        <v>160.0681415094339</v>
      </c>
      <c r="T679" s="10">
        <v>168.1923626923078</v>
      </c>
      <c r="U679" s="10">
        <v>175.9412100000001</v>
      </c>
      <c r="V679" s="10">
        <v>184.7365982692308</v>
      </c>
      <c r="W679" s="10">
        <v>125.08960269230769</v>
      </c>
      <c r="X679" s="10">
        <v>124.8317349056603</v>
      </c>
      <c r="Y679" s="10">
        <v>124.59076756097561</v>
      </c>
      <c r="Z679" s="11">
        <f t="shared" si="10"/>
        <v>-0.18029104000000001</v>
      </c>
    </row>
    <row r="680" spans="1:26" x14ac:dyDescent="0.3">
      <c r="A680" t="s">
        <v>679</v>
      </c>
      <c r="B680" t="s">
        <v>2796</v>
      </c>
      <c r="C680" t="s">
        <v>2797</v>
      </c>
      <c r="D680" t="s">
        <v>1014</v>
      </c>
      <c r="E680" t="s">
        <v>1019</v>
      </c>
      <c r="F680" t="s">
        <v>1305</v>
      </c>
      <c r="G680" t="s">
        <v>1662</v>
      </c>
      <c r="H680" s="13">
        <v>747203</v>
      </c>
      <c r="I680" s="14">
        <v>8193761.8099999996</v>
      </c>
      <c r="J680" t="s">
        <v>1052</v>
      </c>
      <c r="K680" s="10">
        <v>10.55592</v>
      </c>
      <c r="M680" s="10">
        <v>9.4868462264150999</v>
      </c>
      <c r="N680" s="10">
        <v>10.798729807692309</v>
      </c>
      <c r="O680" s="10">
        <v>11.719589615384621</v>
      </c>
      <c r="P680" s="10">
        <v>12.481805769230769</v>
      </c>
      <c r="Q680" s="10">
        <v>13.72126807692308</v>
      </c>
      <c r="R680" s="10">
        <v>14.405280384615381</v>
      </c>
      <c r="S680" s="10">
        <v>15.118799811320759</v>
      </c>
      <c r="T680" s="10">
        <v>15.86671500000001</v>
      </c>
      <c r="U680" s="10">
        <v>16.652566153846148</v>
      </c>
      <c r="V680" s="10">
        <v>17.46430192307691</v>
      </c>
      <c r="W680" s="10">
        <v>18.29784384615385</v>
      </c>
      <c r="X680" s="10">
        <v>10.555985094339629</v>
      </c>
      <c r="Y680" s="10">
        <v>10.55630292682927</v>
      </c>
      <c r="Z680" s="11">
        <f t="shared" si="10"/>
        <v>-0.26721419000000002</v>
      </c>
    </row>
    <row r="681" spans="1:26" x14ac:dyDescent="0.3">
      <c r="A681" t="s">
        <v>680</v>
      </c>
      <c r="B681" t="s">
        <v>2798</v>
      </c>
      <c r="C681" t="s">
        <v>2799</v>
      </c>
      <c r="D681" t="s">
        <v>1015</v>
      </c>
      <c r="E681" t="s">
        <v>1030</v>
      </c>
      <c r="F681" t="s">
        <v>2451</v>
      </c>
      <c r="G681" t="s">
        <v>2800</v>
      </c>
      <c r="H681" s="13">
        <v>20726025.228</v>
      </c>
      <c r="I681" s="14">
        <v>8149411.0300000003</v>
      </c>
      <c r="J681" t="s">
        <v>1052</v>
      </c>
      <c r="K681" s="10">
        <v>0.13611999999999999</v>
      </c>
      <c r="N681" s="10">
        <v>0.1618834615384615</v>
      </c>
      <c r="O681" s="10">
        <v>0.13740250000000001</v>
      </c>
      <c r="P681" s="10">
        <v>0.1201969230769231</v>
      </c>
      <c r="Q681" s="10">
        <v>9.9575192307692337E-2</v>
      </c>
      <c r="R681" s="10">
        <v>8.3726153846153811E-2</v>
      </c>
      <c r="S681" s="10">
        <v>0.1040956603773585</v>
      </c>
      <c r="T681" s="10">
        <v>9.6850576923076914E-2</v>
      </c>
      <c r="U681" s="10">
        <v>9.9319423076923111E-2</v>
      </c>
      <c r="V681" s="10">
        <v>0.1169026923076924</v>
      </c>
      <c r="W681" s="10">
        <v>0.13472461538461539</v>
      </c>
      <c r="X681" s="10">
        <v>0.12703924528301891</v>
      </c>
      <c r="Y681" s="10">
        <v>0.1326253658536585</v>
      </c>
      <c r="Z681" s="11">
        <f t="shared" si="10"/>
        <v>0.51731853999999999</v>
      </c>
    </row>
    <row r="682" spans="1:26" x14ac:dyDescent="0.3">
      <c r="A682" t="s">
        <v>681</v>
      </c>
      <c r="B682" t="s">
        <v>2801</v>
      </c>
      <c r="C682" t="s">
        <v>2802</v>
      </c>
      <c r="D682" t="s">
        <v>1015</v>
      </c>
      <c r="E682" t="s">
        <v>1018</v>
      </c>
      <c r="F682" t="s">
        <v>2803</v>
      </c>
      <c r="G682" t="s">
        <v>2804</v>
      </c>
      <c r="H682" s="13">
        <v>52764245.18</v>
      </c>
      <c r="I682" s="14">
        <v>8134813.4900000002</v>
      </c>
      <c r="J682" t="s">
        <v>1052</v>
      </c>
      <c r="K682" s="10">
        <v>1.4789999999999999E-2</v>
      </c>
      <c r="M682" s="10">
        <v>2.5987735849056611E-2</v>
      </c>
      <c r="N682" s="10">
        <v>2.6743076923076911E-2</v>
      </c>
      <c r="O682" s="10">
        <v>2.4667115384615391E-2</v>
      </c>
      <c r="P682" s="10">
        <v>2.1430384615384619E-2</v>
      </c>
      <c r="Q682" s="10">
        <v>1.9552884615384621E-2</v>
      </c>
      <c r="R682" s="10">
        <v>1.9573269230769231E-2</v>
      </c>
      <c r="S682" s="10">
        <v>1.9922641509433951E-2</v>
      </c>
      <c r="T682" s="10">
        <v>1.5816538461538469E-2</v>
      </c>
      <c r="U682" s="10">
        <v>1.6155961538461539E-2</v>
      </c>
      <c r="V682" s="10">
        <v>1.5947115384615389E-2</v>
      </c>
      <c r="W682" s="10">
        <v>1.6606346153846159E-2</v>
      </c>
      <c r="X682" s="10">
        <v>1.6890188679245279E-2</v>
      </c>
      <c r="Y682" s="10">
        <v>1.550487804878049E-2</v>
      </c>
      <c r="Z682" s="11">
        <f t="shared" si="10"/>
        <v>-0.13707881</v>
      </c>
    </row>
    <row r="683" spans="1:26" x14ac:dyDescent="0.3">
      <c r="A683" t="s">
        <v>682</v>
      </c>
      <c r="B683" t="s">
        <v>2805</v>
      </c>
      <c r="C683" t="s">
        <v>2802</v>
      </c>
      <c r="D683" t="s">
        <v>1015</v>
      </c>
      <c r="E683" t="s">
        <v>1018</v>
      </c>
      <c r="F683" t="s">
        <v>2806</v>
      </c>
      <c r="G683" t="s">
        <v>2804</v>
      </c>
      <c r="H683" s="13">
        <v>48933567.372000001</v>
      </c>
      <c r="I683" s="14">
        <v>8118984.96</v>
      </c>
      <c r="J683" t="s">
        <v>1052</v>
      </c>
      <c r="K683" s="10">
        <v>1.4789999999999999E-2</v>
      </c>
      <c r="T683" s="10">
        <v>1.5816538461538469E-2</v>
      </c>
      <c r="U683" s="10">
        <v>1.6155961538461539E-2</v>
      </c>
      <c r="V683" s="10">
        <v>1.5947115384615389E-2</v>
      </c>
      <c r="W683" s="10">
        <v>1.6606346153846159E-2</v>
      </c>
      <c r="X683" s="10">
        <v>1.6890188679245279E-2</v>
      </c>
      <c r="Y683" s="10">
        <v>1.550487804878049E-2</v>
      </c>
      <c r="Z683" s="11" t="str">
        <f t="shared" si="10"/>
        <v/>
      </c>
    </row>
    <row r="684" spans="1:26" x14ac:dyDescent="0.3">
      <c r="A684" t="s">
        <v>683</v>
      </c>
      <c r="B684" t="s">
        <v>2807</v>
      </c>
      <c r="C684" t="s">
        <v>2808</v>
      </c>
      <c r="D684" t="s">
        <v>1014</v>
      </c>
      <c r="E684" t="s">
        <v>1021</v>
      </c>
      <c r="F684" t="s">
        <v>2809</v>
      </c>
      <c r="G684" t="s">
        <v>2810</v>
      </c>
      <c r="H684" s="13">
        <v>21518</v>
      </c>
      <c r="I684" s="14">
        <v>8077110.9100000001</v>
      </c>
      <c r="J684" t="s">
        <v>1061</v>
      </c>
      <c r="K684" s="10">
        <v>379.87295</v>
      </c>
      <c r="W684" s="10">
        <v>370.26769428571419</v>
      </c>
      <c r="X684" s="10">
        <v>368.88202037735851</v>
      </c>
      <c r="Y684" s="10">
        <v>373.06157390243942</v>
      </c>
      <c r="Z684" s="11" t="str">
        <f t="shared" si="10"/>
        <v/>
      </c>
    </row>
    <row r="685" spans="1:26" x14ac:dyDescent="0.3">
      <c r="A685" t="s">
        <v>684</v>
      </c>
      <c r="B685" t="s">
        <v>2811</v>
      </c>
      <c r="C685" t="s">
        <v>2484</v>
      </c>
      <c r="D685" t="s">
        <v>1015</v>
      </c>
      <c r="E685" t="s">
        <v>1026</v>
      </c>
      <c r="F685" t="s">
        <v>2039</v>
      </c>
      <c r="G685" t="s">
        <v>2485</v>
      </c>
      <c r="H685" s="13">
        <v>16847117.452</v>
      </c>
      <c r="I685" s="14">
        <v>8066264.0499999998</v>
      </c>
      <c r="J685" t="s">
        <v>1163</v>
      </c>
      <c r="K685" s="10">
        <v>0.14555000000000001</v>
      </c>
      <c r="M685" s="10">
        <v>0.31237226415094338</v>
      </c>
      <c r="N685" s="10">
        <v>0.30781192307692301</v>
      </c>
      <c r="O685" s="10">
        <v>0.29217346153846152</v>
      </c>
      <c r="P685" s="10">
        <v>0.24142442307692319</v>
      </c>
      <c r="Q685" s="10">
        <v>0.21175115384615389</v>
      </c>
      <c r="R685" s="10">
        <v>0.1988525000000001</v>
      </c>
      <c r="S685" s="10">
        <v>0.1934305660377359</v>
      </c>
      <c r="T685" s="10">
        <v>0.1800294230769231</v>
      </c>
      <c r="U685" s="10">
        <v>0.17329480769230771</v>
      </c>
      <c r="V685" s="10">
        <v>0.1774840384615384</v>
      </c>
      <c r="W685" s="10">
        <v>0.16654846153846151</v>
      </c>
      <c r="X685" s="10">
        <v>0.1552632075471698</v>
      </c>
      <c r="Y685" s="10">
        <v>0.13705170731707311</v>
      </c>
      <c r="Z685" s="11">
        <f t="shared" si="10"/>
        <v>-0.21920414999999999</v>
      </c>
    </row>
    <row r="686" spans="1:26" x14ac:dyDescent="0.3">
      <c r="A686" t="s">
        <v>685</v>
      </c>
      <c r="B686" t="s">
        <v>2812</v>
      </c>
      <c r="C686" t="s">
        <v>2813</v>
      </c>
      <c r="D686" t="s">
        <v>1014</v>
      </c>
      <c r="E686" t="s">
        <v>1027</v>
      </c>
      <c r="F686" t="s">
        <v>2814</v>
      </c>
      <c r="G686" t="s">
        <v>2815</v>
      </c>
      <c r="H686" s="13">
        <v>489600</v>
      </c>
      <c r="I686" s="14">
        <v>8028433.1200000001</v>
      </c>
      <c r="J686" t="s">
        <v>1052</v>
      </c>
      <c r="K686" s="10">
        <v>16.704640000000001</v>
      </c>
      <c r="V686" s="10">
        <v>15.30670576923076</v>
      </c>
      <c r="W686" s="10">
        <v>15.79585769230769</v>
      </c>
      <c r="X686" s="10">
        <v>16.269618679245301</v>
      </c>
      <c r="Y686" s="10">
        <v>16.715858536585369</v>
      </c>
      <c r="Z686" s="11" t="str">
        <f t="shared" si="10"/>
        <v/>
      </c>
    </row>
    <row r="687" spans="1:26" x14ac:dyDescent="0.3">
      <c r="A687" t="s">
        <v>686</v>
      </c>
      <c r="B687" t="s">
        <v>2816</v>
      </c>
      <c r="C687" t="s">
        <v>2170</v>
      </c>
      <c r="D687" t="s">
        <v>1015</v>
      </c>
      <c r="E687" t="s">
        <v>1032</v>
      </c>
      <c r="F687" t="s">
        <v>2027</v>
      </c>
      <c r="G687" t="s">
        <v>2172</v>
      </c>
      <c r="H687" s="13">
        <v>118536164.56299999</v>
      </c>
      <c r="I687" s="14">
        <v>8012419.79</v>
      </c>
      <c r="J687" t="s">
        <v>1061</v>
      </c>
      <c r="K687" s="10">
        <v>2.231E-2</v>
      </c>
      <c r="N687" s="10">
        <v>2.9607500000000019E-2</v>
      </c>
      <c r="O687" s="10">
        <v>2.624499999999998E-2</v>
      </c>
      <c r="P687" s="10">
        <v>2.6151153846153848E-2</v>
      </c>
      <c r="Q687" s="10">
        <v>2.4711153846153841E-2</v>
      </c>
      <c r="R687" s="10">
        <v>2.3257884615384621E-2</v>
      </c>
      <c r="S687" s="10">
        <v>2.3417358490566049E-2</v>
      </c>
      <c r="T687" s="10">
        <v>2.434192307692307E-2</v>
      </c>
      <c r="U687" s="10">
        <v>2.389346153846154E-2</v>
      </c>
      <c r="V687" s="10">
        <v>2.484211538461539E-2</v>
      </c>
      <c r="W687" s="10">
        <v>2.3475576923076918E-2</v>
      </c>
      <c r="X687" s="10">
        <v>2.2217169811320759E-2</v>
      </c>
      <c r="Y687" s="10">
        <v>2.1755609756097562E-2</v>
      </c>
      <c r="Z687" s="11">
        <f t="shared" si="10"/>
        <v>-4.4746750000000002E-2</v>
      </c>
    </row>
    <row r="688" spans="1:26" x14ac:dyDescent="0.3">
      <c r="A688" t="s">
        <v>687</v>
      </c>
      <c r="B688" t="s">
        <v>2817</v>
      </c>
      <c r="C688" t="s">
        <v>2818</v>
      </c>
      <c r="D688" t="s">
        <v>1014</v>
      </c>
      <c r="E688" t="s">
        <v>1030</v>
      </c>
      <c r="F688" t="s">
        <v>2651</v>
      </c>
      <c r="G688" t="s">
        <v>2652</v>
      </c>
      <c r="H688" s="13">
        <v>485512</v>
      </c>
      <c r="I688" s="14">
        <v>7992428.0599999996</v>
      </c>
      <c r="J688" t="s">
        <v>1052</v>
      </c>
      <c r="K688" s="10">
        <v>17.190329999999999</v>
      </c>
      <c r="Q688" s="10">
        <v>11.1373</v>
      </c>
      <c r="R688" s="10">
        <v>11.89374173076923</v>
      </c>
      <c r="S688" s="10">
        <v>12.717105094339621</v>
      </c>
      <c r="T688" s="10">
        <v>13.325379615384611</v>
      </c>
      <c r="U688" s="10">
        <v>13.95276999999999</v>
      </c>
      <c r="V688" s="10">
        <v>14.644171923076909</v>
      </c>
      <c r="W688" s="10">
        <v>15.54661711538461</v>
      </c>
      <c r="X688" s="10">
        <v>16.39148584905659</v>
      </c>
      <c r="Y688" s="10">
        <v>17.192942439024399</v>
      </c>
      <c r="Z688" s="11">
        <f t="shared" si="10"/>
        <v>0.37816056999999997</v>
      </c>
    </row>
    <row r="689" spans="1:26" x14ac:dyDescent="0.3">
      <c r="A689" t="s">
        <v>688</v>
      </c>
      <c r="B689" t="s">
        <v>2819</v>
      </c>
      <c r="C689" t="s">
        <v>2820</v>
      </c>
      <c r="D689" t="s">
        <v>1014</v>
      </c>
      <c r="E689" t="s">
        <v>1019</v>
      </c>
      <c r="F689" t="s">
        <v>1123</v>
      </c>
      <c r="G689" t="s">
        <v>1588</v>
      </c>
      <c r="H689" s="13">
        <v>798096.31</v>
      </c>
      <c r="I689" s="14">
        <v>7976106.25</v>
      </c>
      <c r="J689" t="s">
        <v>1061</v>
      </c>
      <c r="K689" s="10">
        <v>9.0332500000000007</v>
      </c>
      <c r="M689" s="10">
        <v>20.521916206896549</v>
      </c>
      <c r="N689" s="10">
        <v>24.242201153846128</v>
      </c>
      <c r="O689" s="10">
        <v>27.51585692307691</v>
      </c>
      <c r="P689" s="10">
        <v>29.862509615384599</v>
      </c>
      <c r="Q689" s="10">
        <v>30.443295192307691</v>
      </c>
      <c r="R689" s="10">
        <v>30.407366923076911</v>
      </c>
      <c r="S689" s="10">
        <v>30.136389795918369</v>
      </c>
      <c r="T689" s="10">
        <v>30.15501384615386</v>
      </c>
      <c r="U689" s="10">
        <v>30.15236865384615</v>
      </c>
      <c r="V689" s="10">
        <v>30.25418423076923</v>
      </c>
      <c r="W689" s="10">
        <v>9.4703932692307653</v>
      </c>
      <c r="X689" s="10">
        <v>9.0445573584905681</v>
      </c>
      <c r="Y689" s="10">
        <v>9.0374778048780477</v>
      </c>
      <c r="Z689" s="11">
        <f t="shared" si="10"/>
        <v>-0.70255374999999998</v>
      </c>
    </row>
    <row r="690" spans="1:26" x14ac:dyDescent="0.3">
      <c r="A690" t="s">
        <v>689</v>
      </c>
      <c r="B690" t="s">
        <v>2821</v>
      </c>
      <c r="C690" t="s">
        <v>2822</v>
      </c>
      <c r="D690" t="s">
        <v>1014</v>
      </c>
      <c r="E690" t="s">
        <v>1030</v>
      </c>
      <c r="F690" t="s">
        <v>2279</v>
      </c>
      <c r="G690" t="s">
        <v>2280</v>
      </c>
      <c r="H690" s="13">
        <v>270135</v>
      </c>
      <c r="I690" s="14">
        <v>7943878.1100000003</v>
      </c>
      <c r="J690" t="s">
        <v>1052</v>
      </c>
      <c r="K690" s="10">
        <v>32.657820000000001</v>
      </c>
      <c r="M690" s="10">
        <v>14.07632377358491</v>
      </c>
      <c r="N690" s="10">
        <v>14.72809416666667</v>
      </c>
      <c r="O690" s="10">
        <v>16.500700192307679</v>
      </c>
      <c r="P690" s="10">
        <v>17.951548846153859</v>
      </c>
      <c r="Q690" s="10">
        <v>19.566180961538461</v>
      </c>
      <c r="R690" s="10">
        <v>21.58453269230769</v>
      </c>
      <c r="S690" s="10">
        <v>22.517660566037751</v>
      </c>
      <c r="T690" s="10">
        <v>23.675099615384621</v>
      </c>
      <c r="U690" s="10">
        <v>24.874469999999981</v>
      </c>
      <c r="V690" s="10">
        <v>26.10824019230769</v>
      </c>
      <c r="W690" s="10">
        <v>28.514257692307691</v>
      </c>
      <c r="X690" s="10">
        <v>30.175810943396218</v>
      </c>
      <c r="Y690" s="10">
        <v>32.692808048780478</v>
      </c>
      <c r="Z690" s="11">
        <f t="shared" si="10"/>
        <v>0.39802937999999999</v>
      </c>
    </row>
    <row r="691" spans="1:26" x14ac:dyDescent="0.3">
      <c r="A691" t="s">
        <v>690</v>
      </c>
      <c r="B691" t="s">
        <v>2823</v>
      </c>
      <c r="C691" t="s">
        <v>2824</v>
      </c>
      <c r="D691" t="s">
        <v>1014</v>
      </c>
      <c r="E691" t="s">
        <v>1027</v>
      </c>
      <c r="F691" t="s">
        <v>1068</v>
      </c>
      <c r="G691" t="s">
        <v>1197</v>
      </c>
      <c r="H691" s="13">
        <v>2036.1859999999999</v>
      </c>
      <c r="I691" s="14">
        <v>7919782.8399999999</v>
      </c>
      <c r="J691" t="s">
        <v>1061</v>
      </c>
      <c r="K691" s="10">
        <v>3950.9488700000002</v>
      </c>
      <c r="X691" s="10">
        <v>3895.4660164150919</v>
      </c>
      <c r="Y691" s="10">
        <v>3973.0308560975609</v>
      </c>
      <c r="Z691" s="11" t="str">
        <f t="shared" si="10"/>
        <v/>
      </c>
    </row>
    <row r="692" spans="1:26" x14ac:dyDescent="0.3">
      <c r="A692" t="s">
        <v>691</v>
      </c>
      <c r="B692" t="s">
        <v>2825</v>
      </c>
      <c r="C692" t="s">
        <v>2826</v>
      </c>
      <c r="D692" t="s">
        <v>1015</v>
      </c>
      <c r="E692" t="s">
        <v>1027</v>
      </c>
      <c r="F692" t="s">
        <v>1382</v>
      </c>
      <c r="G692" t="s">
        <v>2827</v>
      </c>
      <c r="H692" s="13">
        <v>8646.1299999999992</v>
      </c>
      <c r="I692" s="14">
        <v>7887691.5099999998</v>
      </c>
      <c r="J692" t="s">
        <v>1052</v>
      </c>
      <c r="K692" s="10">
        <v>760.21785</v>
      </c>
      <c r="W692" s="10">
        <v>971.25065783783771</v>
      </c>
      <c r="X692" s="10">
        <v>954.9315592452831</v>
      </c>
      <c r="Y692" s="10">
        <v>857.2648039024391</v>
      </c>
      <c r="Z692" s="11" t="str">
        <f t="shared" si="10"/>
        <v/>
      </c>
    </row>
    <row r="693" spans="1:26" x14ac:dyDescent="0.3">
      <c r="A693" t="s">
        <v>692</v>
      </c>
      <c r="B693" t="s">
        <v>2828</v>
      </c>
      <c r="C693" t="s">
        <v>2766</v>
      </c>
      <c r="D693" t="s">
        <v>1015</v>
      </c>
      <c r="E693" t="s">
        <v>1027</v>
      </c>
      <c r="F693" t="s">
        <v>2829</v>
      </c>
      <c r="G693" t="s">
        <v>2768</v>
      </c>
      <c r="H693" s="13">
        <v>71308431.818000004</v>
      </c>
      <c r="I693" s="14">
        <v>7880704.8399999999</v>
      </c>
      <c r="J693" t="s">
        <v>1061</v>
      </c>
      <c r="K693" s="10">
        <v>6.8239999999999995E-2</v>
      </c>
      <c r="N693" s="10">
        <v>0.17616399999999999</v>
      </c>
      <c r="O693" s="10">
        <v>0.16458923076923079</v>
      </c>
      <c r="P693" s="10">
        <v>0.13491519230769231</v>
      </c>
      <c r="Q693" s="10">
        <v>9.9322307692307696E-2</v>
      </c>
      <c r="R693" s="10">
        <v>7.5921923076923081E-2</v>
      </c>
      <c r="S693" s="10">
        <v>7.1436226415094325E-2</v>
      </c>
      <c r="T693" s="10">
        <v>6.5245576923076962E-2</v>
      </c>
      <c r="U693" s="10">
        <v>5.5924230769230782E-2</v>
      </c>
      <c r="V693" s="10">
        <v>7.190288461538466E-2</v>
      </c>
      <c r="W693" s="10">
        <v>9.2861730769230738E-2</v>
      </c>
      <c r="X693" s="10">
        <v>8.6617358490566024E-2</v>
      </c>
      <c r="Y693" s="10">
        <v>7.2977560975609757E-2</v>
      </c>
      <c r="Z693" s="11">
        <f t="shared" si="10"/>
        <v>0.14087414000000001</v>
      </c>
    </row>
    <row r="694" spans="1:26" x14ac:dyDescent="0.3">
      <c r="A694" t="s">
        <v>693</v>
      </c>
      <c r="B694" t="s">
        <v>2830</v>
      </c>
      <c r="C694" t="s">
        <v>1754</v>
      </c>
      <c r="D694" t="s">
        <v>1014</v>
      </c>
      <c r="E694" t="s">
        <v>1033</v>
      </c>
      <c r="F694" t="s">
        <v>1755</v>
      </c>
      <c r="G694" t="s">
        <v>1756</v>
      </c>
      <c r="H694" s="13">
        <v>490658</v>
      </c>
      <c r="I694" s="14">
        <v>7879269.0599999996</v>
      </c>
      <c r="J694" t="s">
        <v>1052</v>
      </c>
      <c r="K694" s="10">
        <v>16.45975</v>
      </c>
      <c r="U694" s="10">
        <v>14.66757000000001</v>
      </c>
      <c r="V694" s="10">
        <v>15.088865384615371</v>
      </c>
      <c r="W694" s="10">
        <v>15.531401923076929</v>
      </c>
      <c r="X694" s="10">
        <v>15.99018132075471</v>
      </c>
      <c r="Y694" s="10">
        <v>16.455298536585371</v>
      </c>
      <c r="Z694" s="11" t="str">
        <f t="shared" si="10"/>
        <v/>
      </c>
    </row>
    <row r="695" spans="1:26" x14ac:dyDescent="0.3">
      <c r="A695" t="s">
        <v>694</v>
      </c>
      <c r="B695" t="s">
        <v>2831</v>
      </c>
      <c r="C695" t="s">
        <v>2832</v>
      </c>
      <c r="D695" t="s">
        <v>1015</v>
      </c>
      <c r="E695" t="s">
        <v>1032</v>
      </c>
      <c r="F695" t="s">
        <v>1941</v>
      </c>
      <c r="G695" t="s">
        <v>2833</v>
      </c>
      <c r="H695" s="13">
        <v>24620581.600000001</v>
      </c>
      <c r="I695" s="14">
        <v>7849087.4500000002</v>
      </c>
      <c r="J695" t="s">
        <v>1052</v>
      </c>
      <c r="K695" s="10">
        <v>5.2940000000000001E-2</v>
      </c>
      <c r="M695" s="10">
        <v>7.0598113207547164E-2</v>
      </c>
      <c r="N695" s="10">
        <v>6.269288461538465E-2</v>
      </c>
      <c r="O695" s="10">
        <v>5.8040384615384633E-2</v>
      </c>
      <c r="P695" s="10">
        <v>5.8276923076923101E-2</v>
      </c>
      <c r="Q695" s="10">
        <v>6.6742692307692281E-2</v>
      </c>
      <c r="R695" s="10">
        <v>6.1062500000000013E-2</v>
      </c>
      <c r="S695" s="10">
        <v>6.1308490566037717E-2</v>
      </c>
      <c r="T695" s="10">
        <v>6.0420769230769257E-2</v>
      </c>
      <c r="U695" s="10">
        <v>5.9735384615384607E-2</v>
      </c>
      <c r="V695" s="10">
        <v>5.970384615384617E-2</v>
      </c>
      <c r="W695" s="10">
        <v>5.5506923076923113E-2</v>
      </c>
      <c r="X695" s="10">
        <v>5.6650566037735862E-2</v>
      </c>
      <c r="Y695" s="10">
        <v>5.3112682926829281E-2</v>
      </c>
      <c r="Z695" s="11">
        <f t="shared" si="10"/>
        <v>-7.2252759999999999E-2</v>
      </c>
    </row>
    <row r="696" spans="1:26" x14ac:dyDescent="0.3">
      <c r="A696" t="s">
        <v>695</v>
      </c>
      <c r="B696" t="s">
        <v>2834</v>
      </c>
      <c r="C696" t="s">
        <v>2835</v>
      </c>
      <c r="D696" t="s">
        <v>1015</v>
      </c>
      <c r="E696" t="s">
        <v>1030</v>
      </c>
      <c r="F696" t="s">
        <v>1610</v>
      </c>
      <c r="G696" t="s">
        <v>1938</v>
      </c>
      <c r="H696" s="13">
        <v>3874726</v>
      </c>
      <c r="I696" s="14">
        <v>7830784.2699999996</v>
      </c>
      <c r="J696" t="s">
        <v>1163</v>
      </c>
      <c r="K696" s="10">
        <v>0.42962</v>
      </c>
      <c r="W696" s="10">
        <v>1.3693129729729729</v>
      </c>
      <c r="X696" s="10">
        <v>0.70863452830188622</v>
      </c>
      <c r="Y696" s="10">
        <v>0.41210731707317078</v>
      </c>
      <c r="Z696" s="11" t="str">
        <f t="shared" si="10"/>
        <v/>
      </c>
    </row>
    <row r="697" spans="1:26" x14ac:dyDescent="0.3">
      <c r="A697" t="s">
        <v>696</v>
      </c>
      <c r="B697" t="s">
        <v>2836</v>
      </c>
      <c r="C697" t="s">
        <v>2837</v>
      </c>
      <c r="D697" t="s">
        <v>1015</v>
      </c>
      <c r="E697" t="s">
        <v>1020</v>
      </c>
      <c r="F697" t="s">
        <v>2049</v>
      </c>
      <c r="G697" t="s">
        <v>2838</v>
      </c>
      <c r="H697" s="13">
        <v>143429.361</v>
      </c>
      <c r="I697" s="14">
        <v>7817316.8300000001</v>
      </c>
      <c r="J697" t="s">
        <v>1052</v>
      </c>
      <c r="K697" s="10">
        <v>46.354100000000003</v>
      </c>
      <c r="S697" s="10">
        <v>114.38828760869561</v>
      </c>
      <c r="T697" s="10">
        <v>106.7150169230769</v>
      </c>
      <c r="U697" s="10">
        <v>90.145037115384667</v>
      </c>
      <c r="V697" s="10">
        <v>79.800013653846179</v>
      </c>
      <c r="W697" s="10">
        <v>58.082185961538492</v>
      </c>
      <c r="X697" s="10">
        <v>51.190180377358502</v>
      </c>
      <c r="Y697" s="10">
        <v>48.612485609756092</v>
      </c>
      <c r="Z697" s="11" t="str">
        <f t="shared" si="10"/>
        <v/>
      </c>
    </row>
    <row r="698" spans="1:26" x14ac:dyDescent="0.3">
      <c r="A698" t="s">
        <v>697</v>
      </c>
      <c r="B698" t="s">
        <v>2839</v>
      </c>
      <c r="C698" t="s">
        <v>2840</v>
      </c>
      <c r="D698" t="s">
        <v>1015</v>
      </c>
      <c r="E698" t="s">
        <v>1026</v>
      </c>
      <c r="F698" t="s">
        <v>2108</v>
      </c>
      <c r="G698" t="s">
        <v>2841</v>
      </c>
      <c r="H698" s="13">
        <v>17387844.438000001</v>
      </c>
      <c r="I698" s="14">
        <v>7808592.2300000004</v>
      </c>
      <c r="J698" t="s">
        <v>1052</v>
      </c>
      <c r="K698" s="10">
        <v>4.4810000000000003E-2</v>
      </c>
      <c r="M698" s="10">
        <v>6.1537547169811323E-2</v>
      </c>
      <c r="N698" s="10">
        <v>8.109769230769226E-2</v>
      </c>
      <c r="O698" s="10">
        <v>8.7970769230769255E-2</v>
      </c>
      <c r="P698" s="10">
        <v>8.0234807692307689E-2</v>
      </c>
      <c r="Q698" s="10">
        <v>7.4823461538461519E-2</v>
      </c>
      <c r="R698" s="10">
        <v>7.227096153846152E-2</v>
      </c>
      <c r="S698" s="10">
        <v>7.5323962264150918E-2</v>
      </c>
      <c r="T698" s="10">
        <v>6.4201730769230733E-2</v>
      </c>
      <c r="U698" s="10">
        <v>6.8996730769230824E-2</v>
      </c>
      <c r="V698" s="10">
        <v>6.280961538461538E-2</v>
      </c>
      <c r="W698" s="10">
        <v>5.497480769230767E-2</v>
      </c>
      <c r="X698" s="10">
        <v>5.6271509433962273E-2</v>
      </c>
      <c r="Y698" s="10">
        <v>4.6151951219512211E-2</v>
      </c>
      <c r="Z698" s="11">
        <f t="shared" si="10"/>
        <v>-0.22138147999999999</v>
      </c>
    </row>
    <row r="699" spans="1:26" x14ac:dyDescent="0.3">
      <c r="A699" t="s">
        <v>698</v>
      </c>
      <c r="B699" t="s">
        <v>2842</v>
      </c>
      <c r="C699" t="s">
        <v>2843</v>
      </c>
      <c r="D699" t="s">
        <v>1015</v>
      </c>
      <c r="E699" t="s">
        <v>1025</v>
      </c>
      <c r="F699" t="s">
        <v>2844</v>
      </c>
      <c r="G699" t="s">
        <v>2845</v>
      </c>
      <c r="H699" s="13">
        <v>14131530.25</v>
      </c>
      <c r="I699" s="14">
        <v>7807051.5499999998</v>
      </c>
      <c r="J699" t="s">
        <v>1052</v>
      </c>
      <c r="K699" s="10">
        <v>6.4310000000000006E-2</v>
      </c>
      <c r="S699" s="10">
        <v>0.1168683673469388</v>
      </c>
      <c r="T699" s="10">
        <v>0.1116090384615385</v>
      </c>
      <c r="U699" s="10">
        <v>0.11096673076923071</v>
      </c>
      <c r="V699" s="10">
        <v>9.5719038461538439E-2</v>
      </c>
      <c r="W699" s="10">
        <v>8.5249038461538446E-2</v>
      </c>
      <c r="X699" s="10">
        <v>7.8425471698113217E-2</v>
      </c>
      <c r="Y699" s="10">
        <v>6.9108780487804888E-2</v>
      </c>
      <c r="Z699" s="11" t="str">
        <f t="shared" si="10"/>
        <v/>
      </c>
    </row>
    <row r="700" spans="1:26" x14ac:dyDescent="0.3">
      <c r="A700" t="s">
        <v>699</v>
      </c>
      <c r="B700" t="s">
        <v>2846</v>
      </c>
      <c r="C700" t="s">
        <v>1651</v>
      </c>
      <c r="D700" t="s">
        <v>1014</v>
      </c>
      <c r="E700" t="s">
        <v>1018</v>
      </c>
      <c r="F700" t="s">
        <v>1068</v>
      </c>
      <c r="G700" t="s">
        <v>1225</v>
      </c>
      <c r="H700" s="13">
        <v>409226.5</v>
      </c>
      <c r="I700" s="14">
        <v>7797403.29</v>
      </c>
      <c r="J700" t="s">
        <v>1052</v>
      </c>
      <c r="K700" s="10">
        <v>19.522259999999999</v>
      </c>
      <c r="Q700" s="10">
        <v>13.38512020408163</v>
      </c>
      <c r="R700" s="10">
        <v>14.313032692307701</v>
      </c>
      <c r="S700" s="10">
        <v>14.996290754716981</v>
      </c>
      <c r="T700" s="10">
        <v>15.714271730769219</v>
      </c>
      <c r="U700" s="10">
        <v>16.482372115384631</v>
      </c>
      <c r="V700" s="10">
        <v>17.28845307692308</v>
      </c>
      <c r="W700" s="10">
        <v>18.14245884615384</v>
      </c>
      <c r="X700" s="10">
        <v>19.02290490566039</v>
      </c>
      <c r="Y700" s="10">
        <v>19.478405609756091</v>
      </c>
      <c r="Z700" s="11">
        <f t="shared" si="10"/>
        <v>0.32906179000000002</v>
      </c>
    </row>
    <row r="701" spans="1:26" x14ac:dyDescent="0.3">
      <c r="A701" t="s">
        <v>700</v>
      </c>
      <c r="B701" t="s">
        <v>2847</v>
      </c>
      <c r="C701" t="s">
        <v>2848</v>
      </c>
      <c r="D701" t="s">
        <v>1014</v>
      </c>
      <c r="E701" t="s">
        <v>1022</v>
      </c>
      <c r="F701" t="s">
        <v>1511</v>
      </c>
      <c r="G701" t="s">
        <v>1512</v>
      </c>
      <c r="H701" s="13">
        <v>1930164</v>
      </c>
      <c r="I701" s="14">
        <v>7754869.0999999996</v>
      </c>
      <c r="J701" t="s">
        <v>1052</v>
      </c>
      <c r="K701" s="10">
        <v>4.1838899999999999</v>
      </c>
      <c r="T701" s="10">
        <v>3.6086762962962968</v>
      </c>
      <c r="U701" s="10">
        <v>3.660120000000004</v>
      </c>
      <c r="V701" s="10">
        <v>3.8039386538461559</v>
      </c>
      <c r="W701" s="10">
        <v>3.9103628846153842</v>
      </c>
      <c r="X701" s="10">
        <v>4.0220128301886824</v>
      </c>
      <c r="Y701" s="10">
        <v>4.1813453658536588</v>
      </c>
      <c r="Z701" s="11" t="str">
        <f t="shared" si="10"/>
        <v/>
      </c>
    </row>
    <row r="702" spans="1:26" x14ac:dyDescent="0.3">
      <c r="A702" t="s">
        <v>701</v>
      </c>
      <c r="B702" t="s">
        <v>2849</v>
      </c>
      <c r="C702" t="s">
        <v>2850</v>
      </c>
      <c r="D702" t="s">
        <v>1015</v>
      </c>
      <c r="E702" t="s">
        <v>1027</v>
      </c>
      <c r="F702" t="s">
        <v>1382</v>
      </c>
      <c r="G702" t="s">
        <v>2851</v>
      </c>
      <c r="H702" s="13">
        <v>32979623.828000002</v>
      </c>
      <c r="I702" s="14">
        <v>7749863.04</v>
      </c>
      <c r="J702" t="s">
        <v>1052</v>
      </c>
      <c r="K702" s="10">
        <v>3.074E-2</v>
      </c>
      <c r="T702" s="10">
        <v>4.0708461538461527E-2</v>
      </c>
      <c r="U702" s="10">
        <v>3.6930769230769218E-2</v>
      </c>
      <c r="V702" s="10">
        <v>3.5115384615384611E-2</v>
      </c>
      <c r="W702" s="10">
        <v>3.311769230769232E-2</v>
      </c>
      <c r="X702" s="10">
        <v>3.4253584905660363E-2</v>
      </c>
      <c r="Y702" s="10">
        <v>3.2825365853658528E-2</v>
      </c>
      <c r="Z702" s="11" t="str">
        <f t="shared" si="10"/>
        <v/>
      </c>
    </row>
    <row r="703" spans="1:26" x14ac:dyDescent="0.3">
      <c r="A703" t="s">
        <v>702</v>
      </c>
      <c r="B703" t="s">
        <v>2852</v>
      </c>
      <c r="C703" t="s">
        <v>2251</v>
      </c>
      <c r="D703" t="s">
        <v>1015</v>
      </c>
      <c r="E703" t="s">
        <v>1025</v>
      </c>
      <c r="F703" t="s">
        <v>2171</v>
      </c>
      <c r="G703" t="s">
        <v>2252</v>
      </c>
      <c r="H703" s="13">
        <v>10722153.602</v>
      </c>
      <c r="I703" s="14">
        <v>7748562.25</v>
      </c>
      <c r="J703" t="s">
        <v>1061</v>
      </c>
      <c r="K703" s="10">
        <v>0.61529</v>
      </c>
      <c r="W703" s="10">
        <v>0.63087459459459494</v>
      </c>
      <c r="X703" s="10">
        <v>0.65886641509433974</v>
      </c>
      <c r="Y703" s="10">
        <v>0.60915975609756112</v>
      </c>
      <c r="Z703" s="11" t="str">
        <f t="shared" si="10"/>
        <v/>
      </c>
    </row>
    <row r="704" spans="1:26" x14ac:dyDescent="0.3">
      <c r="A704" t="s">
        <v>703</v>
      </c>
      <c r="B704" t="s">
        <v>2853</v>
      </c>
      <c r="C704" t="s">
        <v>2854</v>
      </c>
      <c r="D704" t="s">
        <v>1014</v>
      </c>
      <c r="E704" t="s">
        <v>1027</v>
      </c>
      <c r="F704" t="s">
        <v>1096</v>
      </c>
      <c r="G704" t="s">
        <v>1749</v>
      </c>
      <c r="H704" s="13">
        <v>413694</v>
      </c>
      <c r="I704" s="14">
        <v>7730467.9000000004</v>
      </c>
      <c r="J704" t="s">
        <v>1052</v>
      </c>
      <c r="K704" s="10">
        <v>19.332730000000002</v>
      </c>
      <c r="M704" s="10">
        <v>8.8729167924528394</v>
      </c>
      <c r="N704" s="10">
        <v>10.401815769230771</v>
      </c>
      <c r="O704" s="10">
        <v>12.189259423076919</v>
      </c>
      <c r="P704" s="10">
        <v>13.58402653846154</v>
      </c>
      <c r="Q704" s="10">
        <v>14.50552884615386</v>
      </c>
      <c r="R704" s="10">
        <v>15.37432346153847</v>
      </c>
      <c r="S704" s="10">
        <v>15.39133622641509</v>
      </c>
      <c r="T704" s="10">
        <v>15.40850673076924</v>
      </c>
      <c r="U704" s="10">
        <v>15.73981019230769</v>
      </c>
      <c r="V704" s="10">
        <v>17.747881153846158</v>
      </c>
      <c r="W704" s="10">
        <v>18.295976153846169</v>
      </c>
      <c r="X704" s="10">
        <v>18.73287018867925</v>
      </c>
      <c r="Y704" s="10">
        <v>19.285340731707318</v>
      </c>
      <c r="Z704" s="11">
        <f t="shared" si="10"/>
        <v>0.21845168000000001</v>
      </c>
    </row>
    <row r="705" spans="1:26" x14ac:dyDescent="0.3">
      <c r="A705" t="s">
        <v>704</v>
      </c>
      <c r="B705" t="s">
        <v>2855</v>
      </c>
      <c r="C705" t="s">
        <v>2856</v>
      </c>
      <c r="D705" t="s">
        <v>1015</v>
      </c>
      <c r="E705" t="s">
        <v>1019</v>
      </c>
      <c r="F705" t="s">
        <v>2790</v>
      </c>
      <c r="G705" t="s">
        <v>1955</v>
      </c>
      <c r="H705" s="13">
        <v>68780820.151999995</v>
      </c>
      <c r="I705" s="14">
        <v>7725072.75</v>
      </c>
      <c r="J705" t="s">
        <v>1052</v>
      </c>
      <c r="K705" s="10">
        <v>1.451E-2</v>
      </c>
      <c r="S705" s="10">
        <v>1.6314285714285712E-2</v>
      </c>
      <c r="T705" s="10">
        <v>1.6393269230769239E-2</v>
      </c>
      <c r="U705" s="10">
        <v>1.610423076923076E-2</v>
      </c>
      <c r="V705" s="10">
        <v>1.6290192307692311E-2</v>
      </c>
      <c r="W705" s="10">
        <v>1.427826923076923E-2</v>
      </c>
      <c r="X705" s="10">
        <v>1.4117358490566039E-2</v>
      </c>
      <c r="Y705" s="10">
        <v>1.4076829268292681E-2</v>
      </c>
      <c r="Z705" s="11" t="str">
        <f t="shared" si="10"/>
        <v/>
      </c>
    </row>
    <row r="706" spans="1:26" x14ac:dyDescent="0.3">
      <c r="A706" t="s">
        <v>705</v>
      </c>
      <c r="B706" t="s">
        <v>2857</v>
      </c>
      <c r="C706" t="s">
        <v>2858</v>
      </c>
      <c r="D706" t="s">
        <v>1014</v>
      </c>
      <c r="E706" t="s">
        <v>1022</v>
      </c>
      <c r="F706" t="s">
        <v>1862</v>
      </c>
      <c r="G706" t="s">
        <v>2859</v>
      </c>
      <c r="H706" s="13">
        <v>6282810.4989999998</v>
      </c>
      <c r="I706" s="14">
        <v>7716046.9100000001</v>
      </c>
      <c r="J706" t="s">
        <v>1061</v>
      </c>
      <c r="K706" s="10">
        <v>1.2442</v>
      </c>
      <c r="V706" s="10">
        <v>1.1065925000000001</v>
      </c>
      <c r="W706" s="10">
        <v>1.1187925000000001</v>
      </c>
      <c r="X706" s="10">
        <v>1.212465283018868</v>
      </c>
      <c r="Y706" s="10">
        <v>1.248187073170731</v>
      </c>
      <c r="Z706" s="11" t="str">
        <f t="shared" ref="Z706:Z769" si="11">IF(AND(ISNUMBER(INDEX($L706:$Y706,MATCH(BaseYear,p_years,0))),ISNUMBER(INDEX($L706:$Y706,MATCH(EndYear,p_years,0)))),ROUND(INDEX($L706:$Y706,MATCH(EndYear,p_years,0))/INDEX($L706:$Y706,MATCH(BaseYear,p_years,0))-1,8),"")</f>
        <v/>
      </c>
    </row>
    <row r="707" spans="1:26" x14ac:dyDescent="0.3">
      <c r="A707" t="s">
        <v>706</v>
      </c>
      <c r="B707" t="s">
        <v>2860</v>
      </c>
      <c r="C707" t="s">
        <v>2861</v>
      </c>
      <c r="D707" t="s">
        <v>1014</v>
      </c>
      <c r="E707" t="s">
        <v>1027</v>
      </c>
      <c r="F707" t="s">
        <v>1399</v>
      </c>
      <c r="G707" t="s">
        <v>2457</v>
      </c>
      <c r="H707" s="13">
        <v>252987</v>
      </c>
      <c r="I707" s="14">
        <v>7710069.5</v>
      </c>
      <c r="J707" t="s">
        <v>1052</v>
      </c>
      <c r="K707" s="10">
        <v>34.437559999999998</v>
      </c>
      <c r="Q707" s="10">
        <v>21.888627692307701</v>
      </c>
      <c r="R707" s="10">
        <v>23.629999423076921</v>
      </c>
      <c r="S707" s="10">
        <v>25.45475962264149</v>
      </c>
      <c r="T707" s="10">
        <v>26.994022115384631</v>
      </c>
      <c r="U707" s="10">
        <v>28.776890000000019</v>
      </c>
      <c r="V707" s="10">
        <v>30.424455576923091</v>
      </c>
      <c r="W707" s="10">
        <v>30.340728461538479</v>
      </c>
      <c r="X707" s="10">
        <v>30.755421320754689</v>
      </c>
      <c r="Y707" s="10">
        <v>32.827535853658532</v>
      </c>
      <c r="Z707" s="11">
        <f t="shared" si="11"/>
        <v>0.30154134999999999</v>
      </c>
    </row>
    <row r="708" spans="1:26" x14ac:dyDescent="0.3">
      <c r="A708" t="s">
        <v>707</v>
      </c>
      <c r="B708" t="s">
        <v>2862</v>
      </c>
      <c r="C708" t="s">
        <v>2863</v>
      </c>
      <c r="D708" t="s">
        <v>1015</v>
      </c>
      <c r="E708" t="s">
        <v>1030</v>
      </c>
      <c r="F708" t="s">
        <v>2451</v>
      </c>
      <c r="G708" t="s">
        <v>2864</v>
      </c>
      <c r="H708" s="13">
        <v>26219986.68</v>
      </c>
      <c r="I708" s="14">
        <v>7707246.2199999997</v>
      </c>
      <c r="J708" t="s">
        <v>1052</v>
      </c>
      <c r="K708" s="10">
        <v>8.8419999999999999E-2</v>
      </c>
      <c r="M708" s="10">
        <v>0.145441320754717</v>
      </c>
      <c r="N708" s="10">
        <v>0.12996250000000001</v>
      </c>
      <c r="O708" s="10">
        <v>0.1116392307692308</v>
      </c>
      <c r="P708" s="10">
        <v>9.6713461538461526E-2</v>
      </c>
      <c r="Q708" s="10">
        <v>8.0921923076923072E-2</v>
      </c>
      <c r="R708" s="10">
        <v>7.1235384615384603E-2</v>
      </c>
      <c r="S708" s="10">
        <v>7.3359056603773565E-2</v>
      </c>
      <c r="T708" s="10">
        <v>7.0499999999999979E-2</v>
      </c>
      <c r="U708" s="10">
        <v>7.218749999999996E-2</v>
      </c>
      <c r="V708" s="10">
        <v>8.0756346153846165E-2</v>
      </c>
      <c r="W708" s="10">
        <v>8.7588653846153858E-2</v>
      </c>
      <c r="X708" s="10">
        <v>9.1751886792452789E-2</v>
      </c>
      <c r="Y708" s="10">
        <v>8.8249512195121893E-2</v>
      </c>
      <c r="Z708" s="11">
        <f t="shared" si="11"/>
        <v>0.28800998999999999</v>
      </c>
    </row>
    <row r="709" spans="1:26" x14ac:dyDescent="0.3">
      <c r="A709" t="s">
        <v>708</v>
      </c>
      <c r="B709" t="s">
        <v>2865</v>
      </c>
      <c r="C709" t="s">
        <v>2866</v>
      </c>
      <c r="D709" t="s">
        <v>1015</v>
      </c>
      <c r="E709" t="s">
        <v>1018</v>
      </c>
      <c r="F709" t="s">
        <v>2288</v>
      </c>
      <c r="G709" t="s">
        <v>2867</v>
      </c>
      <c r="H709" s="13">
        <v>15354585</v>
      </c>
      <c r="I709" s="14">
        <v>7701461.79</v>
      </c>
      <c r="J709" t="s">
        <v>1052</v>
      </c>
      <c r="K709" s="10">
        <v>0.21173</v>
      </c>
      <c r="Q709" s="10">
        <v>2.323205952380953</v>
      </c>
      <c r="R709" s="10">
        <v>1.8992917307692301</v>
      </c>
      <c r="S709" s="10">
        <v>1.0160483018867921</v>
      </c>
      <c r="T709" s="10">
        <v>0.7669059615384618</v>
      </c>
      <c r="U709" s="10">
        <v>0.40858423076923062</v>
      </c>
      <c r="V709" s="10">
        <v>0.34826615384615389</v>
      </c>
      <c r="W709" s="10">
        <v>0.2815709615384614</v>
      </c>
      <c r="X709" s="10">
        <v>0.29076490566037749</v>
      </c>
      <c r="Y709" s="10">
        <v>0.23748682926829259</v>
      </c>
      <c r="Z709" s="11">
        <f t="shared" si="11"/>
        <v>-0.84690876999999998</v>
      </c>
    </row>
    <row r="710" spans="1:26" x14ac:dyDescent="0.3">
      <c r="A710" t="s">
        <v>709</v>
      </c>
      <c r="B710" t="s">
        <v>2868</v>
      </c>
      <c r="C710" t="s">
        <v>1752</v>
      </c>
      <c r="D710" t="s">
        <v>1015</v>
      </c>
      <c r="E710" t="s">
        <v>1030</v>
      </c>
      <c r="F710" t="s">
        <v>2027</v>
      </c>
      <c r="G710" t="s">
        <v>1619</v>
      </c>
      <c r="H710" s="13">
        <v>7196639.2999999998</v>
      </c>
      <c r="I710" s="14">
        <v>7698502.7599999998</v>
      </c>
      <c r="J710" t="s">
        <v>1052</v>
      </c>
      <c r="K710" s="10">
        <v>0.66281999999999996</v>
      </c>
      <c r="Q710" s="10">
        <v>2.4180956521739132</v>
      </c>
      <c r="R710" s="10">
        <v>1.7868136538461541</v>
      </c>
      <c r="S710" s="10">
        <v>1.4143775471698119</v>
      </c>
      <c r="T710" s="10">
        <v>1.1059600000000001</v>
      </c>
      <c r="U710" s="10">
        <v>1.0268371153846161</v>
      </c>
      <c r="V710" s="10">
        <v>0.99031288461538469</v>
      </c>
      <c r="W710" s="10">
        <v>0.87680134615384575</v>
      </c>
      <c r="X710" s="10">
        <v>0.72262188679245276</v>
      </c>
      <c r="Y710" s="10">
        <v>0.66755682926829296</v>
      </c>
      <c r="Z710" s="11">
        <f t="shared" si="11"/>
        <v>-0.59558071999999995</v>
      </c>
    </row>
    <row r="711" spans="1:26" x14ac:dyDescent="0.3">
      <c r="A711" t="s">
        <v>710</v>
      </c>
      <c r="B711" t="s">
        <v>2869</v>
      </c>
      <c r="C711" t="s">
        <v>2870</v>
      </c>
      <c r="D711" t="s">
        <v>1015</v>
      </c>
      <c r="E711" t="s">
        <v>1030</v>
      </c>
      <c r="F711" t="s">
        <v>1618</v>
      </c>
      <c r="G711" t="s">
        <v>2871</v>
      </c>
      <c r="H711" s="13">
        <v>4474577.08</v>
      </c>
      <c r="I711" s="14">
        <v>7698027.9199999999</v>
      </c>
      <c r="J711" t="s">
        <v>1052</v>
      </c>
      <c r="K711" s="10">
        <v>1.8725099999999999</v>
      </c>
      <c r="N711" s="10">
        <v>1.739333599999999</v>
      </c>
      <c r="O711" s="10">
        <v>1.6881984615384611</v>
      </c>
      <c r="P711" s="10">
        <v>1.6747144230769231</v>
      </c>
      <c r="Q711" s="10">
        <v>1.656318269230769</v>
      </c>
      <c r="R711" s="10">
        <v>1.6780709615384619</v>
      </c>
      <c r="S711" s="10">
        <v>1.684786037735849</v>
      </c>
      <c r="T711" s="10">
        <v>1.684090192307693</v>
      </c>
      <c r="U711" s="10">
        <v>1.6413761538461551</v>
      </c>
      <c r="V711" s="10">
        <v>1.579117884615383</v>
      </c>
      <c r="W711" s="10">
        <v>1.4774613461538459</v>
      </c>
      <c r="X711" s="10">
        <v>1.51379</v>
      </c>
      <c r="Y711" s="10">
        <v>1.698092682926829</v>
      </c>
      <c r="Z711" s="11">
        <f t="shared" si="11"/>
        <v>-9.7898700000000005E-2</v>
      </c>
    </row>
    <row r="712" spans="1:26" x14ac:dyDescent="0.3">
      <c r="A712" t="s">
        <v>711</v>
      </c>
      <c r="B712" t="s">
        <v>2872</v>
      </c>
      <c r="C712" t="s">
        <v>2873</v>
      </c>
      <c r="D712" t="s">
        <v>1014</v>
      </c>
      <c r="E712" t="s">
        <v>1027</v>
      </c>
      <c r="F712" t="s">
        <v>1305</v>
      </c>
      <c r="G712" t="s">
        <v>2590</v>
      </c>
      <c r="H712" s="13">
        <v>511169.5</v>
      </c>
      <c r="I712" s="14">
        <v>7668866.8099999996</v>
      </c>
      <c r="J712" t="s">
        <v>1052</v>
      </c>
      <c r="K712" s="10">
        <v>15.21275</v>
      </c>
      <c r="N712" s="10">
        <v>8.4760135135135179</v>
      </c>
      <c r="O712" s="10">
        <v>9.1276471153846117</v>
      </c>
      <c r="P712" s="10">
        <v>9.7887898076923037</v>
      </c>
      <c r="Q712" s="10">
        <v>10.58217692307692</v>
      </c>
      <c r="R712" s="10">
        <v>11.09077230769231</v>
      </c>
      <c r="S712" s="10">
        <v>11.644447924528309</v>
      </c>
      <c r="T712" s="10">
        <v>12.2452925</v>
      </c>
      <c r="U712" s="10">
        <v>12.87074288461538</v>
      </c>
      <c r="V712" s="10">
        <v>13.494649999999989</v>
      </c>
      <c r="W712" s="10">
        <v>14.15491211538462</v>
      </c>
      <c r="X712" s="10">
        <v>14.83753792452829</v>
      </c>
      <c r="Y712" s="10">
        <v>15.205297560975611</v>
      </c>
      <c r="Z712" s="11">
        <f t="shared" si="11"/>
        <v>0.3378273</v>
      </c>
    </row>
    <row r="713" spans="1:26" x14ac:dyDescent="0.3">
      <c r="A713" t="s">
        <v>712</v>
      </c>
      <c r="B713" t="s">
        <v>2874</v>
      </c>
      <c r="C713" t="s">
        <v>2875</v>
      </c>
      <c r="D713" t="s">
        <v>1014</v>
      </c>
      <c r="E713" t="s">
        <v>1023</v>
      </c>
      <c r="F713" t="s">
        <v>1305</v>
      </c>
      <c r="G713" t="s">
        <v>1909</v>
      </c>
      <c r="H713" s="13">
        <v>226770</v>
      </c>
      <c r="I713" s="14">
        <v>7666183.79</v>
      </c>
      <c r="J713" t="s">
        <v>1052</v>
      </c>
      <c r="K713" s="10">
        <v>34.51502</v>
      </c>
      <c r="Q713" s="10">
        <v>24.149639999999991</v>
      </c>
      <c r="R713" s="10">
        <v>24.871886730769241</v>
      </c>
      <c r="S713" s="10">
        <v>26.7552733962264</v>
      </c>
      <c r="T713" s="10">
        <v>28.170339999999999</v>
      </c>
      <c r="U713" s="10">
        <v>29.546626346153811</v>
      </c>
      <c r="V713" s="10">
        <v>30.959859615384609</v>
      </c>
      <c r="W713" s="10">
        <v>32.297056730769228</v>
      </c>
      <c r="X713" s="10">
        <v>33.701315849056577</v>
      </c>
      <c r="Y713" s="10">
        <v>34.523212926829267</v>
      </c>
      <c r="Z713" s="11">
        <f t="shared" si="11"/>
        <v>0.35499635000000002</v>
      </c>
    </row>
    <row r="714" spans="1:26" x14ac:dyDescent="0.3">
      <c r="A714" t="s">
        <v>713</v>
      </c>
      <c r="B714" t="s">
        <v>2876</v>
      </c>
      <c r="C714" t="s">
        <v>2740</v>
      </c>
      <c r="D714" t="s">
        <v>1015</v>
      </c>
      <c r="E714" t="s">
        <v>1027</v>
      </c>
      <c r="F714" t="s">
        <v>1610</v>
      </c>
      <c r="G714" t="s">
        <v>2741</v>
      </c>
      <c r="H714" s="13">
        <v>35254152.478</v>
      </c>
      <c r="I714" s="14">
        <v>7638560.9500000002</v>
      </c>
      <c r="J714" t="s">
        <v>1052</v>
      </c>
      <c r="K714" s="10">
        <v>5.074E-2</v>
      </c>
      <c r="M714" s="10">
        <v>6.3294528301886782E-2</v>
      </c>
      <c r="N714" s="10">
        <v>5.9741153846153833E-2</v>
      </c>
      <c r="O714" s="10">
        <v>5.744576923076921E-2</v>
      </c>
      <c r="P714" s="10">
        <v>5.4521153846153823E-2</v>
      </c>
      <c r="Q714" s="10">
        <v>5.3841346153846142E-2</v>
      </c>
      <c r="R714" s="10">
        <v>5.7881923076923067E-2</v>
      </c>
      <c r="S714" s="10">
        <v>6.4713962264150937E-2</v>
      </c>
      <c r="T714" s="10">
        <v>6.2908269230769226E-2</v>
      </c>
      <c r="U714" s="10">
        <v>5.8148076923076927E-2</v>
      </c>
      <c r="V714" s="10">
        <v>5.5965769230769243E-2</v>
      </c>
      <c r="W714" s="10">
        <v>5.2647115384615382E-2</v>
      </c>
      <c r="X714" s="10">
        <v>5.1569811320754742E-2</v>
      </c>
      <c r="Y714" s="10">
        <v>5.0852926829268293E-2</v>
      </c>
      <c r="Z714" s="11">
        <f t="shared" si="11"/>
        <v>-0.10905152</v>
      </c>
    </row>
    <row r="715" spans="1:26" x14ac:dyDescent="0.3">
      <c r="A715" t="s">
        <v>714</v>
      </c>
      <c r="B715" t="s">
        <v>2877</v>
      </c>
      <c r="C715" t="s">
        <v>2231</v>
      </c>
      <c r="D715" t="s">
        <v>1015</v>
      </c>
      <c r="E715" t="s">
        <v>1022</v>
      </c>
      <c r="F715" t="s">
        <v>1485</v>
      </c>
      <c r="G715" t="s">
        <v>2232</v>
      </c>
      <c r="H715" s="13">
        <v>39846759.162</v>
      </c>
      <c r="I715" s="14">
        <v>7631962.8399999999</v>
      </c>
      <c r="J715" t="s">
        <v>1052</v>
      </c>
      <c r="K715" s="10">
        <v>3.5770000000000003E-2</v>
      </c>
      <c r="M715" s="10">
        <v>0.1080009433962264</v>
      </c>
      <c r="N715" s="10">
        <v>0.10859153846153841</v>
      </c>
      <c r="O715" s="10">
        <v>7.9246730769230778E-2</v>
      </c>
      <c r="P715" s="10">
        <v>6.8453269230769193E-2</v>
      </c>
      <c r="Q715" s="10">
        <v>6.2163653846153848E-2</v>
      </c>
      <c r="R715" s="10">
        <v>6.5428076923076922E-2</v>
      </c>
      <c r="S715" s="10">
        <v>6.2802075471698152E-2</v>
      </c>
      <c r="T715" s="10">
        <v>6.1686346153846168E-2</v>
      </c>
      <c r="U715" s="10">
        <v>6.1549423076923078E-2</v>
      </c>
      <c r="V715" s="10">
        <v>5.5747115384615367E-2</v>
      </c>
      <c r="W715" s="10">
        <v>4.9487115384615379E-2</v>
      </c>
      <c r="X715" s="10">
        <v>3.7334716981132082E-2</v>
      </c>
      <c r="Y715" s="10">
        <v>3.5720487804878069E-2</v>
      </c>
      <c r="Z715" s="11">
        <f t="shared" si="11"/>
        <v>-0.42937774000000001</v>
      </c>
    </row>
    <row r="716" spans="1:26" x14ac:dyDescent="0.3">
      <c r="A716" t="s">
        <v>715</v>
      </c>
      <c r="B716" t="s">
        <v>2878</v>
      </c>
      <c r="C716" t="s">
        <v>1661</v>
      </c>
      <c r="D716" t="s">
        <v>1014</v>
      </c>
      <c r="E716" t="s">
        <v>1019</v>
      </c>
      <c r="F716" t="s">
        <v>1305</v>
      </c>
      <c r="G716" t="s">
        <v>1662</v>
      </c>
      <c r="H716" s="13">
        <v>1409477</v>
      </c>
      <c r="I716" s="14">
        <v>7628976.5899999999</v>
      </c>
      <c r="J716" t="s">
        <v>1052</v>
      </c>
      <c r="K716" s="10">
        <v>5.2792899999999996</v>
      </c>
      <c r="M716" s="10">
        <v>4.7465811320754696</v>
      </c>
      <c r="N716" s="10">
        <v>5.3969153846153883</v>
      </c>
      <c r="O716" s="10">
        <v>5.8508388461538434</v>
      </c>
      <c r="P716" s="10">
        <v>6.2417661538461493</v>
      </c>
      <c r="Q716" s="10">
        <v>6.856963076923078</v>
      </c>
      <c r="R716" s="10">
        <v>7.2057934615384642</v>
      </c>
      <c r="S716" s="10">
        <v>7.5571509433962278</v>
      </c>
      <c r="T716" s="10">
        <v>7.9332165384615356</v>
      </c>
      <c r="U716" s="10">
        <v>8.3207830769230853</v>
      </c>
      <c r="V716" s="10">
        <v>8.7272817307692314</v>
      </c>
      <c r="W716" s="10">
        <v>9.1524799999999988</v>
      </c>
      <c r="X716" s="10">
        <v>5.2795111320754664</v>
      </c>
      <c r="Y716" s="10">
        <v>5.2803778048780501</v>
      </c>
      <c r="Z716" s="11">
        <f t="shared" si="11"/>
        <v>-0.26732411</v>
      </c>
    </row>
    <row r="717" spans="1:26" x14ac:dyDescent="0.3">
      <c r="A717" t="s">
        <v>716</v>
      </c>
      <c r="B717" t="s">
        <v>2879</v>
      </c>
      <c r="C717" t="s">
        <v>2880</v>
      </c>
      <c r="D717" t="s">
        <v>1015</v>
      </c>
      <c r="E717" t="s">
        <v>1026</v>
      </c>
      <c r="F717" t="s">
        <v>1618</v>
      </c>
      <c r="G717" t="s">
        <v>2881</v>
      </c>
      <c r="H717" s="13">
        <v>1985637.4680000001</v>
      </c>
      <c r="I717" s="14">
        <v>7621936.7699999996</v>
      </c>
      <c r="J717" t="s">
        <v>1052</v>
      </c>
      <c r="K717" s="10">
        <v>0.46976000000000001</v>
      </c>
      <c r="N717" s="10">
        <v>2.049434230769231</v>
      </c>
      <c r="O717" s="10">
        <v>1.8863109615384619</v>
      </c>
      <c r="P717" s="10">
        <v>1.5885625000000001</v>
      </c>
      <c r="Q717" s="10">
        <v>1.2536425</v>
      </c>
      <c r="R717" s="10">
        <v>1.1901298076923079</v>
      </c>
      <c r="S717" s="10">
        <v>1.1445001886792461</v>
      </c>
      <c r="T717" s="10">
        <v>0.92869134615384652</v>
      </c>
      <c r="U717" s="10">
        <v>0.68513557692307714</v>
      </c>
      <c r="V717" s="10">
        <v>0.66494903846153841</v>
      </c>
      <c r="W717" s="10">
        <v>0.63281692307692294</v>
      </c>
      <c r="X717" s="10">
        <v>0.57723056603773593</v>
      </c>
      <c r="Y717" s="10">
        <v>0.45395390243902439</v>
      </c>
      <c r="Z717" s="11">
        <f t="shared" si="11"/>
        <v>-0.51498520000000003</v>
      </c>
    </row>
    <row r="718" spans="1:26" x14ac:dyDescent="0.3">
      <c r="A718" t="s">
        <v>717</v>
      </c>
      <c r="B718" t="s">
        <v>2882</v>
      </c>
      <c r="C718" t="s">
        <v>2883</v>
      </c>
      <c r="D718" t="s">
        <v>1015</v>
      </c>
      <c r="E718" t="s">
        <v>1027</v>
      </c>
      <c r="F718" t="s">
        <v>2234</v>
      </c>
      <c r="G718" t="s">
        <v>2884</v>
      </c>
      <c r="H718" s="13">
        <v>22671275</v>
      </c>
      <c r="I718" s="14">
        <v>7621488.21</v>
      </c>
      <c r="J718" t="s">
        <v>1052</v>
      </c>
      <c r="K718" s="10">
        <v>0.10041</v>
      </c>
      <c r="V718" s="10">
        <v>0.16938365384615381</v>
      </c>
      <c r="W718" s="10">
        <v>0.15534673076923081</v>
      </c>
      <c r="X718" s="10">
        <v>0.1449398113207547</v>
      </c>
      <c r="Y718" s="10">
        <v>0.1087814634146342</v>
      </c>
      <c r="Z718" s="11" t="str">
        <f t="shared" si="11"/>
        <v/>
      </c>
    </row>
    <row r="719" spans="1:26" x14ac:dyDescent="0.3">
      <c r="A719" t="s">
        <v>718</v>
      </c>
      <c r="B719" t="s">
        <v>2885</v>
      </c>
      <c r="C719" t="s">
        <v>1224</v>
      </c>
      <c r="D719" t="s">
        <v>1014</v>
      </c>
      <c r="E719" t="s">
        <v>1018</v>
      </c>
      <c r="F719" t="s">
        <v>1068</v>
      </c>
      <c r="G719" t="s">
        <v>1225</v>
      </c>
      <c r="H719" s="13">
        <v>410729</v>
      </c>
      <c r="I719" s="14">
        <v>7616508.4199999999</v>
      </c>
      <c r="J719" t="s">
        <v>1052</v>
      </c>
      <c r="K719" s="10">
        <v>19.541869999999999</v>
      </c>
      <c r="R719" s="10">
        <v>14.365781739130441</v>
      </c>
      <c r="S719" s="10">
        <v>15.00475679245282</v>
      </c>
      <c r="T719" s="10">
        <v>15.716345192307701</v>
      </c>
      <c r="U719" s="10">
        <v>16.500243653846169</v>
      </c>
      <c r="V719" s="10">
        <v>17.308671538461549</v>
      </c>
      <c r="W719" s="10">
        <v>18.153488846153849</v>
      </c>
      <c r="X719" s="10">
        <v>19.025059056603769</v>
      </c>
      <c r="Y719" s="10">
        <v>19.50297853658536</v>
      </c>
      <c r="Z719" s="11">
        <f t="shared" si="11"/>
        <v>0.32433161999999999</v>
      </c>
    </row>
    <row r="720" spans="1:26" x14ac:dyDescent="0.3">
      <c r="A720" t="s">
        <v>719</v>
      </c>
      <c r="B720" t="s">
        <v>2886</v>
      </c>
      <c r="C720" t="s">
        <v>2887</v>
      </c>
      <c r="D720" t="s">
        <v>1014</v>
      </c>
      <c r="E720" t="s">
        <v>1030</v>
      </c>
      <c r="F720" t="s">
        <v>2279</v>
      </c>
      <c r="G720" t="s">
        <v>2280</v>
      </c>
      <c r="H720" s="13">
        <v>941315</v>
      </c>
      <c r="I720" s="14">
        <v>7616249.0499999998</v>
      </c>
      <c r="J720" t="s">
        <v>1052</v>
      </c>
      <c r="K720" s="10">
        <v>8.6603999999999992</v>
      </c>
      <c r="M720" s="10">
        <v>3.2948490566037738</v>
      </c>
      <c r="N720" s="10">
        <v>3.87963375</v>
      </c>
      <c r="O720" s="10">
        <v>4.3654911538461558</v>
      </c>
      <c r="P720" s="10">
        <v>4.7435146153846173</v>
      </c>
      <c r="Q720" s="10">
        <v>5.1714686538461523</v>
      </c>
      <c r="R720" s="10">
        <v>5.671929807692309</v>
      </c>
      <c r="S720" s="10">
        <v>5.9661047169811292</v>
      </c>
      <c r="T720" s="10">
        <v>6.2711386538461529</v>
      </c>
      <c r="U720" s="10">
        <v>6.5698199999999947</v>
      </c>
      <c r="V720" s="10">
        <v>6.8879803846153864</v>
      </c>
      <c r="W720" s="10">
        <v>7.5185665384615357</v>
      </c>
      <c r="X720" s="10">
        <v>7.9822707547169838</v>
      </c>
      <c r="Y720" s="10">
        <v>8.6645924390243927</v>
      </c>
      <c r="Z720" s="11">
        <f t="shared" si="11"/>
        <v>0.40732889999999999</v>
      </c>
    </row>
    <row r="721" spans="1:26" x14ac:dyDescent="0.3">
      <c r="A721" t="s">
        <v>720</v>
      </c>
      <c r="B721" t="s">
        <v>2888</v>
      </c>
      <c r="C721" t="s">
        <v>2889</v>
      </c>
      <c r="D721" t="s">
        <v>1015</v>
      </c>
      <c r="E721" t="s">
        <v>1022</v>
      </c>
      <c r="F721" t="s">
        <v>2171</v>
      </c>
      <c r="G721" t="s">
        <v>2890</v>
      </c>
      <c r="H721" s="13">
        <v>254214374.19800001</v>
      </c>
      <c r="I721" s="14">
        <v>7611804.6799999997</v>
      </c>
      <c r="J721" t="s">
        <v>1061</v>
      </c>
      <c r="K721" s="10">
        <v>2.2370000000000001E-2</v>
      </c>
      <c r="S721" s="10">
        <v>1.486230769230769E-2</v>
      </c>
      <c r="T721" s="10">
        <v>1.4534038461538459E-2</v>
      </c>
      <c r="U721" s="10">
        <v>1.5709423076923069E-2</v>
      </c>
      <c r="V721" s="10">
        <v>1.3585769230769229E-2</v>
      </c>
      <c r="W721" s="10">
        <v>1.6326538461538451E-2</v>
      </c>
      <c r="X721" s="10">
        <v>2.475773584905662E-2</v>
      </c>
      <c r="Y721" s="10">
        <v>2.3440975609756089E-2</v>
      </c>
      <c r="Z721" s="11" t="str">
        <f t="shared" si="11"/>
        <v/>
      </c>
    </row>
    <row r="722" spans="1:26" x14ac:dyDescent="0.3">
      <c r="A722" t="s">
        <v>721</v>
      </c>
      <c r="B722" t="s">
        <v>2891</v>
      </c>
      <c r="C722" t="s">
        <v>2231</v>
      </c>
      <c r="D722" t="s">
        <v>1015</v>
      </c>
      <c r="E722" t="s">
        <v>1022</v>
      </c>
      <c r="F722" t="s">
        <v>2183</v>
      </c>
      <c r="G722" t="s">
        <v>2232</v>
      </c>
      <c r="H722" s="13">
        <v>33937767.833999999</v>
      </c>
      <c r="I722" s="14">
        <v>7610114.75</v>
      </c>
      <c r="J722" t="s">
        <v>1052</v>
      </c>
      <c r="K722" s="10">
        <v>3.5770000000000003E-2</v>
      </c>
      <c r="S722" s="10">
        <v>6.1903225806451613E-2</v>
      </c>
      <c r="T722" s="10">
        <v>6.1686346153846168E-2</v>
      </c>
      <c r="U722" s="10">
        <v>6.1549423076923078E-2</v>
      </c>
      <c r="V722" s="10">
        <v>5.5747115384615367E-2</v>
      </c>
      <c r="W722" s="10">
        <v>4.9487115384615379E-2</v>
      </c>
      <c r="X722" s="10">
        <v>3.7334716981132082E-2</v>
      </c>
      <c r="Y722" s="10">
        <v>3.5720487804878069E-2</v>
      </c>
      <c r="Z722" s="11" t="str">
        <f t="shared" si="11"/>
        <v/>
      </c>
    </row>
    <row r="723" spans="1:26" x14ac:dyDescent="0.3">
      <c r="A723" t="s">
        <v>722</v>
      </c>
      <c r="B723" t="s">
        <v>2892</v>
      </c>
      <c r="C723" t="s">
        <v>2893</v>
      </c>
      <c r="D723" t="s">
        <v>1015</v>
      </c>
      <c r="E723" t="s">
        <v>1018</v>
      </c>
      <c r="F723" t="s">
        <v>2803</v>
      </c>
      <c r="G723" t="s">
        <v>2804</v>
      </c>
      <c r="H723" s="13">
        <v>52216589.759000003</v>
      </c>
      <c r="I723" s="14">
        <v>7583480.5099999998</v>
      </c>
      <c r="J723" t="s">
        <v>1052</v>
      </c>
      <c r="K723" s="10">
        <v>1.018E-2</v>
      </c>
      <c r="M723" s="10">
        <v>1.9746415094339619E-2</v>
      </c>
      <c r="N723" s="10">
        <v>1.965384615384615E-2</v>
      </c>
      <c r="O723" s="10">
        <v>1.8693461538461541E-2</v>
      </c>
      <c r="P723" s="10">
        <v>1.6113846153846159E-2</v>
      </c>
      <c r="Q723" s="10">
        <v>1.4253076923076931E-2</v>
      </c>
      <c r="R723" s="10">
        <v>1.329096153846155E-2</v>
      </c>
      <c r="S723" s="10">
        <v>1.2636226415094331E-2</v>
      </c>
      <c r="T723" s="10">
        <v>1.1861923076923081E-2</v>
      </c>
      <c r="U723" s="10">
        <v>1.0896153846153851E-2</v>
      </c>
      <c r="V723" s="10">
        <v>1.07173076923077E-2</v>
      </c>
      <c r="W723" s="10">
        <v>1.1250769230769231E-2</v>
      </c>
      <c r="X723" s="10">
        <v>1.110528301886792E-2</v>
      </c>
      <c r="Y723" s="10">
        <v>1.0497073170731709E-2</v>
      </c>
      <c r="Z723" s="11">
        <f t="shared" si="11"/>
        <v>-0.16444849</v>
      </c>
    </row>
    <row r="724" spans="1:26" x14ac:dyDescent="0.3">
      <c r="A724" t="s">
        <v>723</v>
      </c>
      <c r="B724" t="s">
        <v>2894</v>
      </c>
      <c r="C724" t="s">
        <v>2222</v>
      </c>
      <c r="D724" t="s">
        <v>1015</v>
      </c>
      <c r="E724" t="s">
        <v>1026</v>
      </c>
      <c r="F724" t="s">
        <v>2844</v>
      </c>
      <c r="G724" t="s">
        <v>2223</v>
      </c>
      <c r="H724" s="13">
        <v>55122841.219999999</v>
      </c>
      <c r="I724" s="14">
        <v>7581815.3799999999</v>
      </c>
      <c r="J724" t="s">
        <v>1061</v>
      </c>
      <c r="K724" s="10">
        <v>7.5370000000000006E-2</v>
      </c>
      <c r="X724" s="10">
        <v>8.9283773584905662E-2</v>
      </c>
      <c r="Y724" s="10">
        <v>7.9274146341463389E-2</v>
      </c>
      <c r="Z724" s="11" t="str">
        <f t="shared" si="11"/>
        <v/>
      </c>
    </row>
    <row r="725" spans="1:26" x14ac:dyDescent="0.3">
      <c r="A725" t="s">
        <v>724</v>
      </c>
      <c r="B725" t="s">
        <v>2895</v>
      </c>
      <c r="C725" t="s">
        <v>2896</v>
      </c>
      <c r="D725" t="s">
        <v>1014</v>
      </c>
      <c r="E725" t="s">
        <v>1022</v>
      </c>
      <c r="F725" t="s">
        <v>2897</v>
      </c>
      <c r="G725" t="s">
        <v>2898</v>
      </c>
      <c r="H725" s="13">
        <v>982362</v>
      </c>
      <c r="I725" s="14">
        <v>7575532.8399999999</v>
      </c>
      <c r="J725" t="s">
        <v>1052</v>
      </c>
      <c r="K725" s="10">
        <v>8.0388300000000008</v>
      </c>
      <c r="W725" s="10">
        <v>7.8037048648648666</v>
      </c>
      <c r="X725" s="10">
        <v>7.788859433962263</v>
      </c>
      <c r="Y725" s="10">
        <v>8.0096946341463422</v>
      </c>
      <c r="Z725" s="11" t="str">
        <f t="shared" si="11"/>
        <v/>
      </c>
    </row>
    <row r="726" spans="1:26" x14ac:dyDescent="0.3">
      <c r="A726" t="s">
        <v>725</v>
      </c>
      <c r="B726" t="s">
        <v>2899</v>
      </c>
      <c r="C726" t="s">
        <v>2900</v>
      </c>
      <c r="D726" t="s">
        <v>1014</v>
      </c>
      <c r="E726" t="s">
        <v>1027</v>
      </c>
      <c r="F726" t="s">
        <v>1193</v>
      </c>
      <c r="G726" t="s">
        <v>2491</v>
      </c>
      <c r="H726" s="13">
        <v>705307.5</v>
      </c>
      <c r="I726" s="14">
        <v>7561218.2199999997</v>
      </c>
      <c r="J726" t="s">
        <v>1052</v>
      </c>
      <c r="K726" s="10">
        <v>10.917949999999999</v>
      </c>
      <c r="M726" s="10">
        <v>7.7839428301886793</v>
      </c>
      <c r="N726" s="10">
        <v>9.7926267307692338</v>
      </c>
      <c r="O726" s="10">
        <v>11.55431230769231</v>
      </c>
      <c r="P726" s="10">
        <v>12.42810557692307</v>
      </c>
      <c r="Q726" s="10">
        <v>13.57924884615384</v>
      </c>
      <c r="R726" s="10">
        <v>14.025626538461539</v>
      </c>
      <c r="S726" s="10">
        <v>14.38753641509434</v>
      </c>
      <c r="T726" s="10">
        <v>15.10352057692308</v>
      </c>
      <c r="U726" s="10">
        <v>16.123529999999981</v>
      </c>
      <c r="V726" s="10">
        <v>17.296679999999981</v>
      </c>
      <c r="W726" s="10">
        <v>10.635796153846149</v>
      </c>
      <c r="X726" s="10">
        <v>10.936725660377361</v>
      </c>
      <c r="Y726" s="10">
        <v>10.92175560975609</v>
      </c>
      <c r="Z726" s="11">
        <f t="shared" si="11"/>
        <v>-0.22023265</v>
      </c>
    </row>
    <row r="727" spans="1:26" x14ac:dyDescent="0.3">
      <c r="A727" t="s">
        <v>726</v>
      </c>
      <c r="B727" t="s">
        <v>2901</v>
      </c>
      <c r="C727" t="s">
        <v>2902</v>
      </c>
      <c r="D727" t="s">
        <v>1015</v>
      </c>
      <c r="E727" t="s">
        <v>1027</v>
      </c>
      <c r="F727" t="s">
        <v>2903</v>
      </c>
      <c r="G727" t="s">
        <v>2904</v>
      </c>
      <c r="H727" s="13">
        <v>26364936.611000001</v>
      </c>
      <c r="I727" s="14">
        <v>7543057.04</v>
      </c>
      <c r="J727" t="s">
        <v>1052</v>
      </c>
      <c r="K727" s="10">
        <v>6.3159999999999994E-2</v>
      </c>
      <c r="O727" s="10">
        <v>0.11427911764705879</v>
      </c>
      <c r="P727" s="10">
        <v>0.100285</v>
      </c>
      <c r="Q727" s="10">
        <v>8.1625769230769266E-2</v>
      </c>
      <c r="R727" s="10">
        <v>8.2569423076923068E-2</v>
      </c>
      <c r="S727" s="10">
        <v>9.0199811320754733E-2</v>
      </c>
      <c r="T727" s="10">
        <v>8.6941730769230771E-2</v>
      </c>
      <c r="U727" s="10">
        <v>8.1427307692307688E-2</v>
      </c>
      <c r="V727" s="10">
        <v>8.2249230769230783E-2</v>
      </c>
      <c r="W727" s="10">
        <v>7.5514038461538424E-2</v>
      </c>
      <c r="X727" s="10">
        <v>7.2044150943396265E-2</v>
      </c>
      <c r="Y727" s="10">
        <v>6.2449268292682922E-2</v>
      </c>
      <c r="Z727" s="11">
        <f t="shared" si="11"/>
        <v>-0.12747179</v>
      </c>
    </row>
    <row r="728" spans="1:26" x14ac:dyDescent="0.3">
      <c r="A728" t="s">
        <v>727</v>
      </c>
      <c r="B728" t="s">
        <v>2905</v>
      </c>
      <c r="C728" t="s">
        <v>2883</v>
      </c>
      <c r="D728" t="s">
        <v>1015</v>
      </c>
      <c r="E728" t="s">
        <v>1027</v>
      </c>
      <c r="F728" t="s">
        <v>1610</v>
      </c>
      <c r="G728" t="s">
        <v>2884</v>
      </c>
      <c r="H728" s="13">
        <v>20540394.300000001</v>
      </c>
      <c r="I728" s="14">
        <v>7505331.6900000004</v>
      </c>
      <c r="J728" t="s">
        <v>1052</v>
      </c>
      <c r="K728" s="10">
        <v>0.10041</v>
      </c>
      <c r="P728" s="10">
        <v>0.45927000000000001</v>
      </c>
      <c r="Q728" s="10">
        <v>0.420803076923077</v>
      </c>
      <c r="R728" s="10">
        <v>0.37338711538461528</v>
      </c>
      <c r="S728" s="10">
        <v>0.25181943396226408</v>
      </c>
      <c r="T728" s="10">
        <v>0.20519230769230781</v>
      </c>
      <c r="U728" s="10">
        <v>0.17126653846153861</v>
      </c>
      <c r="V728" s="10">
        <v>0.16938365384615381</v>
      </c>
      <c r="W728" s="10">
        <v>0.15534673076923081</v>
      </c>
      <c r="X728" s="10">
        <v>0.1449398113207547</v>
      </c>
      <c r="Y728" s="10">
        <v>0.1087814634146342</v>
      </c>
      <c r="Z728" s="11">
        <f t="shared" si="11"/>
        <v>-0.61182428</v>
      </c>
    </row>
    <row r="729" spans="1:26" x14ac:dyDescent="0.3">
      <c r="A729" t="s">
        <v>728</v>
      </c>
      <c r="B729" t="s">
        <v>2906</v>
      </c>
      <c r="C729" t="s">
        <v>2407</v>
      </c>
      <c r="D729" t="s">
        <v>1015</v>
      </c>
      <c r="E729" t="s">
        <v>1032</v>
      </c>
      <c r="F729" t="s">
        <v>1610</v>
      </c>
      <c r="G729" t="s">
        <v>2408</v>
      </c>
      <c r="H729" s="13">
        <v>8741903</v>
      </c>
      <c r="I729" s="14">
        <v>7499696.71</v>
      </c>
      <c r="J729" t="s">
        <v>1061</v>
      </c>
      <c r="K729" s="10">
        <v>0.67608000000000001</v>
      </c>
      <c r="S729" s="10">
        <v>0.81872509803921545</v>
      </c>
      <c r="T729" s="10">
        <v>0.72369442307692311</v>
      </c>
      <c r="U729" s="10">
        <v>0.54206038461538486</v>
      </c>
      <c r="V729" s="10">
        <v>0.62343230769230762</v>
      </c>
      <c r="W729" s="10">
        <v>0.68352557692307703</v>
      </c>
      <c r="X729" s="10">
        <v>0.8320286792452829</v>
      </c>
      <c r="Y729" s="10">
        <v>0.71572853658536595</v>
      </c>
      <c r="Z729" s="11" t="str">
        <f t="shared" si="11"/>
        <v/>
      </c>
    </row>
    <row r="730" spans="1:26" x14ac:dyDescent="0.3">
      <c r="A730" t="s">
        <v>729</v>
      </c>
      <c r="B730" t="s">
        <v>2907</v>
      </c>
      <c r="C730" t="s">
        <v>2908</v>
      </c>
      <c r="D730" t="s">
        <v>1015</v>
      </c>
      <c r="E730" t="s">
        <v>1032</v>
      </c>
      <c r="F730" t="s">
        <v>1382</v>
      </c>
      <c r="G730" t="s">
        <v>2408</v>
      </c>
      <c r="H730" s="13">
        <v>8120337.5</v>
      </c>
      <c r="I730" s="14">
        <v>7496467.6699999999</v>
      </c>
      <c r="J730" t="s">
        <v>1061</v>
      </c>
      <c r="K730" s="10">
        <v>0.69740000000000002</v>
      </c>
      <c r="M730" s="10">
        <v>3.261239433962265</v>
      </c>
      <c r="N730" s="10">
        <v>3.1082661538461531</v>
      </c>
      <c r="O730" s="10">
        <v>2.5212111538461528</v>
      </c>
      <c r="P730" s="10">
        <v>1.8368582692307689</v>
      </c>
      <c r="Q730" s="10">
        <v>1.245302307692308</v>
      </c>
      <c r="R730" s="10">
        <v>0.89528096153846171</v>
      </c>
      <c r="S730" s="10">
        <v>0.82106358490566067</v>
      </c>
      <c r="T730" s="10">
        <v>0.79833557692307688</v>
      </c>
      <c r="U730" s="10">
        <v>0.77021769230769221</v>
      </c>
      <c r="V730" s="10">
        <v>0.91396480769230715</v>
      </c>
      <c r="W730" s="10">
        <v>0.99456096153846174</v>
      </c>
      <c r="X730" s="10">
        <v>0.86160622641509454</v>
      </c>
      <c r="Y730" s="10">
        <v>0.74576048780487847</v>
      </c>
      <c r="Z730" s="11">
        <f t="shared" si="11"/>
        <v>-3.7613590000000002E-2</v>
      </c>
    </row>
    <row r="731" spans="1:26" x14ac:dyDescent="0.3">
      <c r="A731" t="s">
        <v>730</v>
      </c>
      <c r="B731" t="s">
        <v>2909</v>
      </c>
      <c r="C731" t="s">
        <v>1102</v>
      </c>
      <c r="D731" t="s">
        <v>1014</v>
      </c>
      <c r="E731" t="s">
        <v>1027</v>
      </c>
      <c r="F731" t="s">
        <v>1055</v>
      </c>
      <c r="G731" t="s">
        <v>1103</v>
      </c>
      <c r="H731" s="13">
        <v>153590</v>
      </c>
      <c r="I731" s="14">
        <v>7496334.0499999998</v>
      </c>
      <c r="J731" t="s">
        <v>1052</v>
      </c>
      <c r="K731" s="10">
        <v>50.842370000000003</v>
      </c>
      <c r="P731" s="10">
        <v>35.005352647058828</v>
      </c>
      <c r="Q731" s="10">
        <v>38.272871346153877</v>
      </c>
      <c r="R731" s="10">
        <v>38.445119615384662</v>
      </c>
      <c r="S731" s="10">
        <v>39.132245283018882</v>
      </c>
      <c r="T731" s="10">
        <v>40.485634038461512</v>
      </c>
      <c r="U731" s="10">
        <v>41.868923846153862</v>
      </c>
      <c r="V731" s="10">
        <v>44.02486653846158</v>
      </c>
      <c r="W731" s="10">
        <v>46.223014230769238</v>
      </c>
      <c r="X731" s="10">
        <v>48.50789245283017</v>
      </c>
      <c r="Y731" s="10">
        <v>50.857940975609772</v>
      </c>
      <c r="Z731" s="11">
        <f t="shared" si="11"/>
        <v>0.26174383000000001</v>
      </c>
    </row>
    <row r="732" spans="1:26" x14ac:dyDescent="0.3">
      <c r="A732" t="s">
        <v>731</v>
      </c>
      <c r="B732" t="s">
        <v>2910</v>
      </c>
      <c r="C732" t="s">
        <v>2120</v>
      </c>
      <c r="D732" t="s">
        <v>1015</v>
      </c>
      <c r="E732" t="s">
        <v>1022</v>
      </c>
      <c r="F732" t="s">
        <v>2677</v>
      </c>
      <c r="G732" t="s">
        <v>2121</v>
      </c>
      <c r="H732" s="13">
        <v>227629644.42899999</v>
      </c>
      <c r="I732" s="14">
        <v>7490337.3099999996</v>
      </c>
      <c r="J732" t="s">
        <v>1163</v>
      </c>
      <c r="K732" s="10">
        <v>2.0369999999999999E-2</v>
      </c>
      <c r="N732" s="10">
        <v>1.8908372093023259E-2</v>
      </c>
      <c r="O732" s="10">
        <v>1.8846153846153839E-2</v>
      </c>
      <c r="P732" s="10">
        <v>1.9705192307692319E-2</v>
      </c>
      <c r="Q732" s="10">
        <v>1.9199615384615381E-2</v>
      </c>
      <c r="R732" s="10">
        <v>1.9296153846153841E-2</v>
      </c>
      <c r="S732" s="10">
        <v>1.8341509433962261E-2</v>
      </c>
      <c r="T732" s="10">
        <v>1.8214615384615392E-2</v>
      </c>
      <c r="U732" s="10">
        <v>2.0878846153846151E-2</v>
      </c>
      <c r="V732" s="10">
        <v>2.072884615384616E-2</v>
      </c>
      <c r="W732" s="10">
        <v>2.0556346153846161E-2</v>
      </c>
      <c r="X732" s="10">
        <v>2.01320754716981E-2</v>
      </c>
      <c r="Y732" s="10">
        <v>2.042512195121951E-2</v>
      </c>
      <c r="Z732" s="11">
        <f t="shared" si="11"/>
        <v>4.3320629999999999E-2</v>
      </c>
    </row>
    <row r="733" spans="1:26" x14ac:dyDescent="0.3">
      <c r="A733" t="s">
        <v>732</v>
      </c>
      <c r="B733" t="s">
        <v>2911</v>
      </c>
      <c r="C733" t="s">
        <v>2238</v>
      </c>
      <c r="D733" t="s">
        <v>1015</v>
      </c>
      <c r="E733" t="s">
        <v>1026</v>
      </c>
      <c r="F733" t="s">
        <v>1382</v>
      </c>
      <c r="G733" t="s">
        <v>2239</v>
      </c>
      <c r="H733" s="13">
        <v>112458230.204</v>
      </c>
      <c r="I733" s="14">
        <v>7478308.0800000001</v>
      </c>
      <c r="J733" t="s">
        <v>1061</v>
      </c>
      <c r="K733" s="10">
        <v>3.3829999999999999E-2</v>
      </c>
      <c r="M733" s="10">
        <v>2.478528301886794E-2</v>
      </c>
      <c r="N733" s="10">
        <v>2.4150384615384608E-2</v>
      </c>
      <c r="O733" s="10">
        <v>2.7514807692307679E-2</v>
      </c>
      <c r="P733" s="10">
        <v>2.329403846153847E-2</v>
      </c>
      <c r="Q733" s="10">
        <v>2.1822884615384619E-2</v>
      </c>
      <c r="R733" s="10">
        <v>2.085480769230769E-2</v>
      </c>
      <c r="S733" s="10">
        <v>2.1094716981132071E-2</v>
      </c>
      <c r="T733" s="10">
        <v>2.2304038461538458E-2</v>
      </c>
      <c r="U733" s="10">
        <v>2.3523846153846149E-2</v>
      </c>
      <c r="V733" s="10">
        <v>2.8309615384615391E-2</v>
      </c>
      <c r="W733" s="10">
        <v>3.194942307692307E-2</v>
      </c>
      <c r="X733" s="10">
        <v>3.3829433962264163E-2</v>
      </c>
      <c r="Y733" s="10">
        <v>3.4007317073170742E-2</v>
      </c>
      <c r="Z733" s="11">
        <f t="shared" si="11"/>
        <v>0.62214077999999995</v>
      </c>
    </row>
    <row r="734" spans="1:26" x14ac:dyDescent="0.3">
      <c r="A734" t="s">
        <v>733</v>
      </c>
      <c r="B734" t="s">
        <v>2912</v>
      </c>
      <c r="C734" t="s">
        <v>2404</v>
      </c>
      <c r="D734" t="s">
        <v>1015</v>
      </c>
      <c r="E734" t="s">
        <v>1026</v>
      </c>
      <c r="F734" t="s">
        <v>2803</v>
      </c>
      <c r="G734" t="s">
        <v>2405</v>
      </c>
      <c r="H734" s="13">
        <v>19743661.015000001</v>
      </c>
      <c r="I734" s="14">
        <v>7468358.6699999999</v>
      </c>
      <c r="J734" t="s">
        <v>1052</v>
      </c>
      <c r="K734" s="10">
        <v>0.12003999999999999</v>
      </c>
      <c r="M734" s="10">
        <v>0.1054611320754717</v>
      </c>
      <c r="N734" s="10">
        <v>9.0756538461538458E-2</v>
      </c>
      <c r="O734" s="10">
        <v>8.51998076923077E-2</v>
      </c>
      <c r="P734" s="10">
        <v>8.6336730769230818E-2</v>
      </c>
      <c r="Q734" s="10">
        <v>8.655365384615385E-2</v>
      </c>
      <c r="R734" s="10">
        <v>0.1044982692307693</v>
      </c>
      <c r="S734" s="10">
        <v>0.11267547169811321</v>
      </c>
      <c r="T734" s="10">
        <v>0.12554596153846159</v>
      </c>
      <c r="U734" s="10">
        <v>0.1249946153846154</v>
      </c>
      <c r="V734" s="10">
        <v>0.12950365384615381</v>
      </c>
      <c r="W734" s="10">
        <v>0.12836538461538469</v>
      </c>
      <c r="X734" s="10">
        <v>0.12515000000000001</v>
      </c>
      <c r="Y734" s="10">
        <v>0.1216921951219512</v>
      </c>
      <c r="Z734" s="11">
        <f t="shared" si="11"/>
        <v>0.19762748999999999</v>
      </c>
    </row>
    <row r="735" spans="1:26" x14ac:dyDescent="0.3">
      <c r="A735" t="s">
        <v>734</v>
      </c>
      <c r="B735" t="s">
        <v>2913</v>
      </c>
      <c r="C735" t="s">
        <v>2914</v>
      </c>
      <c r="D735" t="s">
        <v>1015</v>
      </c>
      <c r="E735" t="s">
        <v>1021</v>
      </c>
      <c r="F735" t="s">
        <v>2915</v>
      </c>
      <c r="G735" t="s">
        <v>2916</v>
      </c>
      <c r="H735" s="13">
        <v>661943.755</v>
      </c>
      <c r="I735" s="14">
        <v>7452627.1299999999</v>
      </c>
      <c r="J735" t="s">
        <v>1163</v>
      </c>
      <c r="K735" s="10">
        <v>11.46457</v>
      </c>
      <c r="W735" s="10">
        <v>9.4302194594594617</v>
      </c>
      <c r="X735" s="10">
        <v>11.09246660377358</v>
      </c>
      <c r="Y735" s="10">
        <v>9.1802968292682898</v>
      </c>
      <c r="Z735" s="11" t="str">
        <f t="shared" si="11"/>
        <v/>
      </c>
    </row>
    <row r="736" spans="1:26" x14ac:dyDescent="0.3">
      <c r="A736" t="s">
        <v>735</v>
      </c>
      <c r="B736" t="s">
        <v>2917</v>
      </c>
      <c r="C736" t="s">
        <v>2417</v>
      </c>
      <c r="D736" t="s">
        <v>1015</v>
      </c>
      <c r="E736" t="s">
        <v>1027</v>
      </c>
      <c r="F736" t="s">
        <v>2844</v>
      </c>
      <c r="G736" t="s">
        <v>2419</v>
      </c>
      <c r="H736" s="13">
        <v>1894924</v>
      </c>
      <c r="I736" s="14">
        <v>7444371.3499999996</v>
      </c>
      <c r="J736" t="s">
        <v>1061</v>
      </c>
      <c r="K736" s="10">
        <v>3.7643599999999999</v>
      </c>
      <c r="W736" s="10">
        <v>4.3012054838709686</v>
      </c>
      <c r="X736" s="10">
        <v>4.046723207547168</v>
      </c>
      <c r="Y736" s="10">
        <v>3.82428780487805</v>
      </c>
      <c r="Z736" s="11" t="str">
        <f t="shared" si="11"/>
        <v/>
      </c>
    </row>
    <row r="737" spans="1:26" x14ac:dyDescent="0.3">
      <c r="A737" t="s">
        <v>736</v>
      </c>
      <c r="B737" t="s">
        <v>2918</v>
      </c>
      <c r="C737" t="s">
        <v>2919</v>
      </c>
      <c r="D737" t="s">
        <v>1014</v>
      </c>
      <c r="E737" t="s">
        <v>1027</v>
      </c>
      <c r="F737" t="s">
        <v>1984</v>
      </c>
      <c r="G737" t="s">
        <v>1985</v>
      </c>
      <c r="H737" s="13">
        <v>377623</v>
      </c>
      <c r="I737" s="14">
        <v>7440591.0999999996</v>
      </c>
      <c r="J737" t="s">
        <v>1052</v>
      </c>
      <c r="K737" s="10">
        <v>19.754259999999999</v>
      </c>
      <c r="W737" s="10">
        <v>19.81900000000001</v>
      </c>
      <c r="X737" s="10">
        <v>19.81796962264151</v>
      </c>
      <c r="Y737" s="10">
        <v>19.754359268292681</v>
      </c>
      <c r="Z737" s="11" t="str">
        <f t="shared" si="11"/>
        <v/>
      </c>
    </row>
    <row r="738" spans="1:26" x14ac:dyDescent="0.3">
      <c r="A738" t="s">
        <v>737</v>
      </c>
      <c r="B738" t="s">
        <v>2920</v>
      </c>
      <c r="C738" t="s">
        <v>2921</v>
      </c>
      <c r="D738" t="s">
        <v>1015</v>
      </c>
      <c r="E738" t="s">
        <v>1030</v>
      </c>
      <c r="F738" t="s">
        <v>1618</v>
      </c>
      <c r="G738" t="s">
        <v>1619</v>
      </c>
      <c r="H738" s="13">
        <v>1314394.4979999999</v>
      </c>
      <c r="I738" s="14">
        <v>7437072.8600000003</v>
      </c>
      <c r="J738" t="s">
        <v>1052</v>
      </c>
      <c r="K738" s="10">
        <v>4.4855700000000001</v>
      </c>
      <c r="R738" s="10">
        <v>10.94478</v>
      </c>
      <c r="S738" s="10">
        <v>9.1373420754716985</v>
      </c>
      <c r="T738" s="10">
        <v>7.4990463461538459</v>
      </c>
      <c r="U738" s="10">
        <v>7.1194644230769217</v>
      </c>
      <c r="V738" s="10">
        <v>6.8827861538461548</v>
      </c>
      <c r="W738" s="10">
        <v>5.3617721153846141</v>
      </c>
      <c r="X738" s="10">
        <v>4.4181600000000012</v>
      </c>
      <c r="Y738" s="10">
        <v>4.3330407317073156</v>
      </c>
      <c r="Z738" s="11">
        <f t="shared" si="11"/>
        <v>-0.59632262999999996</v>
      </c>
    </row>
    <row r="739" spans="1:26" x14ac:dyDescent="0.3">
      <c r="A739" t="s">
        <v>738</v>
      </c>
      <c r="B739" t="s">
        <v>2922</v>
      </c>
      <c r="C739" t="s">
        <v>2923</v>
      </c>
      <c r="D739" t="s">
        <v>1015</v>
      </c>
      <c r="E739" t="s">
        <v>1030</v>
      </c>
      <c r="F739" t="s">
        <v>2451</v>
      </c>
      <c r="G739" t="s">
        <v>2924</v>
      </c>
      <c r="H739" s="13">
        <v>23348558</v>
      </c>
      <c r="I739" s="14">
        <v>7434926.7000000002</v>
      </c>
      <c r="J739" t="s">
        <v>1052</v>
      </c>
      <c r="K739" s="10">
        <v>0.23080999999999999</v>
      </c>
      <c r="M739" s="10">
        <v>0.80932811320754716</v>
      </c>
      <c r="N739" s="10">
        <v>0.71310826923076975</v>
      </c>
      <c r="O739" s="10">
        <v>0.61293557692307676</v>
      </c>
      <c r="P739" s="10">
        <v>0.4406024999999999</v>
      </c>
      <c r="Q739" s="10">
        <v>0.3354440384615387</v>
      </c>
      <c r="R739" s="10">
        <v>0.26599923076923071</v>
      </c>
      <c r="S739" s="10">
        <v>0.23295716981132081</v>
      </c>
      <c r="T739" s="10">
        <v>0.18015288461538459</v>
      </c>
      <c r="U739" s="10">
        <v>0.18306730769230781</v>
      </c>
      <c r="V739" s="10">
        <v>0.208916923076923</v>
      </c>
      <c r="W739" s="10">
        <v>0.2160999999999999</v>
      </c>
      <c r="X739" s="10">
        <v>0.25452433962264148</v>
      </c>
      <c r="Y739" s="10">
        <v>0.2350263414634147</v>
      </c>
      <c r="Z739" s="11">
        <f t="shared" si="11"/>
        <v>-4.313881E-2</v>
      </c>
    </row>
    <row r="740" spans="1:26" x14ac:dyDescent="0.3">
      <c r="A740" t="s">
        <v>739</v>
      </c>
      <c r="B740" t="s">
        <v>2925</v>
      </c>
      <c r="C740" t="s">
        <v>2926</v>
      </c>
      <c r="D740" t="s">
        <v>1015</v>
      </c>
      <c r="E740" t="s">
        <v>1027</v>
      </c>
      <c r="F740" t="s">
        <v>1610</v>
      </c>
      <c r="G740" t="s">
        <v>2741</v>
      </c>
      <c r="H740" s="13">
        <v>31614579.300000001</v>
      </c>
      <c r="I740" s="14">
        <v>7425938.3200000003</v>
      </c>
      <c r="J740" t="s">
        <v>1052</v>
      </c>
      <c r="K740" s="10">
        <v>3.4790000000000001E-2</v>
      </c>
      <c r="M740" s="10">
        <v>5.4278679245283012E-2</v>
      </c>
      <c r="N740" s="10">
        <v>5.4112692307692292E-2</v>
      </c>
      <c r="O740" s="10">
        <v>5.2288269230769242E-2</v>
      </c>
      <c r="P740" s="10">
        <v>4.7865384615384601E-2</v>
      </c>
      <c r="Q740" s="10">
        <v>4.4779423076923078E-2</v>
      </c>
      <c r="R740" s="10">
        <v>4.5134038461538448E-2</v>
      </c>
      <c r="S740" s="10">
        <v>4.8865283018867937E-2</v>
      </c>
      <c r="T740" s="10">
        <v>4.8876923076923089E-2</v>
      </c>
      <c r="U740" s="10">
        <v>4.2966730769230778E-2</v>
      </c>
      <c r="V740" s="10">
        <v>4.2143653846153872E-2</v>
      </c>
      <c r="W740" s="10">
        <v>3.7673269230769212E-2</v>
      </c>
      <c r="X740" s="10">
        <v>3.6202830188679251E-2</v>
      </c>
      <c r="Y740" s="10">
        <v>3.5421463414634161E-2</v>
      </c>
      <c r="Z740" s="11">
        <f t="shared" si="11"/>
        <v>-0.19788188000000001</v>
      </c>
    </row>
    <row r="741" spans="1:26" x14ac:dyDescent="0.3">
      <c r="A741" t="s">
        <v>740</v>
      </c>
      <c r="B741" t="s">
        <v>2927</v>
      </c>
      <c r="C741" t="s">
        <v>2928</v>
      </c>
      <c r="D741" t="s">
        <v>1015</v>
      </c>
      <c r="E741" t="s">
        <v>1030</v>
      </c>
      <c r="F741" t="s">
        <v>1618</v>
      </c>
      <c r="G741" t="s">
        <v>2871</v>
      </c>
      <c r="H741" s="13">
        <v>4172330</v>
      </c>
      <c r="I741" s="14">
        <v>7406814.0199999996</v>
      </c>
      <c r="J741" t="s">
        <v>1052</v>
      </c>
      <c r="K741" s="10">
        <v>1.85466</v>
      </c>
      <c r="N741" s="10">
        <v>1.74983</v>
      </c>
      <c r="O741" s="10">
        <v>1.722199423076924</v>
      </c>
      <c r="P741" s="10">
        <v>1.683141153846154</v>
      </c>
      <c r="Q741" s="10">
        <v>1.679990769230769</v>
      </c>
      <c r="R741" s="10">
        <v>1.6729296153846149</v>
      </c>
      <c r="S741" s="10">
        <v>1.678227358490566</v>
      </c>
      <c r="T741" s="10">
        <v>1.7049644230769241</v>
      </c>
      <c r="U741" s="10">
        <v>1.6323525000000001</v>
      </c>
      <c r="V741" s="10">
        <v>1.5828976923076921</v>
      </c>
      <c r="W741" s="10">
        <v>1.4938340384615389</v>
      </c>
      <c r="X741" s="10">
        <v>1.5578301886792461</v>
      </c>
      <c r="Y741" s="10">
        <v>1.739504390243902</v>
      </c>
      <c r="Z741" s="11">
        <f t="shared" si="11"/>
        <v>-6.8801119999999993E-2</v>
      </c>
    </row>
    <row r="742" spans="1:26" x14ac:dyDescent="0.3">
      <c r="A742" t="s">
        <v>741</v>
      </c>
      <c r="B742" t="s">
        <v>2929</v>
      </c>
      <c r="C742" t="s">
        <v>2930</v>
      </c>
      <c r="D742" t="s">
        <v>1015</v>
      </c>
      <c r="E742" t="s">
        <v>1027</v>
      </c>
      <c r="F742" t="s">
        <v>2903</v>
      </c>
      <c r="G742" t="s">
        <v>2904</v>
      </c>
      <c r="H742" s="13">
        <v>28308820.204</v>
      </c>
      <c r="I742" s="14">
        <v>7402953.04</v>
      </c>
      <c r="J742" t="s">
        <v>1052</v>
      </c>
      <c r="K742" s="10">
        <v>3.9449999999999999E-2</v>
      </c>
      <c r="O742" s="10">
        <v>0.1038270588235294</v>
      </c>
      <c r="P742" s="10">
        <v>8.1758846153846154E-2</v>
      </c>
      <c r="Q742" s="10">
        <v>6.7285961538461544E-2</v>
      </c>
      <c r="R742" s="10">
        <v>6.3195192307692313E-2</v>
      </c>
      <c r="S742" s="10">
        <v>6.4511698113207561E-2</v>
      </c>
      <c r="T742" s="10">
        <v>5.8014807692307699E-2</v>
      </c>
      <c r="U742" s="10">
        <v>4.9749807692307663E-2</v>
      </c>
      <c r="V742" s="10">
        <v>5.0170769230769213E-2</v>
      </c>
      <c r="W742" s="10">
        <v>4.5466346153846149E-2</v>
      </c>
      <c r="X742" s="10">
        <v>4.405811320754717E-2</v>
      </c>
      <c r="Y742" s="10">
        <v>4.0363902439024393E-2</v>
      </c>
      <c r="Z742" s="11">
        <f t="shared" si="11"/>
        <v>-0.30282492</v>
      </c>
    </row>
    <row r="743" spans="1:26" x14ac:dyDescent="0.3">
      <c r="A743" t="s">
        <v>742</v>
      </c>
      <c r="B743" t="s">
        <v>2931</v>
      </c>
      <c r="C743" t="s">
        <v>2932</v>
      </c>
      <c r="D743" t="s">
        <v>1015</v>
      </c>
      <c r="E743" t="s">
        <v>1027</v>
      </c>
      <c r="F743" t="s">
        <v>1382</v>
      </c>
      <c r="G743" t="s">
        <v>2933</v>
      </c>
      <c r="H743" s="13">
        <v>14767</v>
      </c>
      <c r="I743" s="14">
        <v>7402192.0800000001</v>
      </c>
      <c r="J743" t="s">
        <v>1052</v>
      </c>
      <c r="K743" s="10">
        <v>228.24800999999999</v>
      </c>
      <c r="X743" s="10">
        <v>547.67211132075499</v>
      </c>
      <c r="Y743" s="10">
        <v>345.41724268292688</v>
      </c>
      <c r="Z743" s="11" t="str">
        <f t="shared" si="11"/>
        <v/>
      </c>
    </row>
    <row r="744" spans="1:26" x14ac:dyDescent="0.3">
      <c r="A744" t="s">
        <v>743</v>
      </c>
      <c r="B744" t="s">
        <v>2934</v>
      </c>
      <c r="C744" t="s">
        <v>2935</v>
      </c>
      <c r="D744" t="s">
        <v>1014</v>
      </c>
      <c r="E744" t="s">
        <v>1023</v>
      </c>
      <c r="F744" t="s">
        <v>1068</v>
      </c>
      <c r="G744" t="s">
        <v>2936</v>
      </c>
      <c r="H744" s="13">
        <v>108488</v>
      </c>
      <c r="I744" s="14">
        <v>7400910.5899999999</v>
      </c>
      <c r="J744" t="s">
        <v>1052</v>
      </c>
      <c r="K744" s="10">
        <v>70.10727</v>
      </c>
      <c r="M744" s="10">
        <v>37.338342452830183</v>
      </c>
      <c r="N744" s="10">
        <v>40.369588461538463</v>
      </c>
      <c r="O744" s="10">
        <v>43.683011923076933</v>
      </c>
      <c r="P744" s="10">
        <v>46.864230384615368</v>
      </c>
      <c r="Q744" s="10">
        <v>50.829993846153869</v>
      </c>
      <c r="R744" s="10">
        <v>54.520405769230777</v>
      </c>
      <c r="S744" s="10">
        <v>57.091805283018857</v>
      </c>
      <c r="T744" s="10">
        <v>59.700244038461499</v>
      </c>
      <c r="U744" s="10">
        <v>63.545209423076948</v>
      </c>
      <c r="V744" s="10">
        <v>67.730984615384685</v>
      </c>
      <c r="W744" s="10">
        <v>69.751405384615339</v>
      </c>
      <c r="X744" s="10">
        <v>69.949238867924507</v>
      </c>
      <c r="Y744" s="10">
        <v>70.165497560975609</v>
      </c>
      <c r="Z744" s="11">
        <f t="shared" si="11"/>
        <v>0.28299190000000002</v>
      </c>
    </row>
    <row r="745" spans="1:26" x14ac:dyDescent="0.3">
      <c r="A745" t="s">
        <v>744</v>
      </c>
      <c r="B745" t="s">
        <v>2937</v>
      </c>
      <c r="C745" t="s">
        <v>2908</v>
      </c>
      <c r="D745" t="s">
        <v>1015</v>
      </c>
      <c r="E745" t="s">
        <v>1032</v>
      </c>
      <c r="F745" t="s">
        <v>2573</v>
      </c>
      <c r="G745" t="s">
        <v>2408</v>
      </c>
      <c r="H745" s="13">
        <v>7611583</v>
      </c>
      <c r="I745" s="14">
        <v>7391809.0199999996</v>
      </c>
      <c r="J745" t="s">
        <v>1061</v>
      </c>
      <c r="K745" s="10">
        <v>0.69740000000000002</v>
      </c>
      <c r="Q745" s="10">
        <v>1.2060006382978721</v>
      </c>
      <c r="R745" s="10">
        <v>0.89528096153846193</v>
      </c>
      <c r="S745" s="10">
        <v>0.82106358490566056</v>
      </c>
      <c r="T745" s="10">
        <v>0.79833557692307677</v>
      </c>
      <c r="U745" s="10">
        <v>0.77021769230769221</v>
      </c>
      <c r="V745" s="10">
        <v>0.91396480769230715</v>
      </c>
      <c r="W745" s="10">
        <v>0.99456096153846174</v>
      </c>
      <c r="X745" s="10">
        <v>0.86160622641509454</v>
      </c>
      <c r="Y745" s="10">
        <v>0.74576048780487847</v>
      </c>
      <c r="Z745" s="11">
        <f t="shared" si="11"/>
        <v>-3.7613590000000002E-2</v>
      </c>
    </row>
    <row r="746" spans="1:26" x14ac:dyDescent="0.3">
      <c r="A746" t="s">
        <v>745</v>
      </c>
      <c r="B746" t="s">
        <v>2938</v>
      </c>
      <c r="C746" t="s">
        <v>2042</v>
      </c>
      <c r="D746" t="s">
        <v>1015</v>
      </c>
      <c r="E746" t="s">
        <v>1032</v>
      </c>
      <c r="F746" t="s">
        <v>2939</v>
      </c>
      <c r="G746" t="s">
        <v>2582</v>
      </c>
      <c r="H746" s="13">
        <v>626689.375</v>
      </c>
      <c r="I746" s="14">
        <v>7388060.5800000001</v>
      </c>
      <c r="J746" t="s">
        <v>1061</v>
      </c>
      <c r="K746" s="10">
        <v>7.1238299999999999</v>
      </c>
      <c r="W746" s="10">
        <v>13.76924393939394</v>
      </c>
      <c r="X746" s="10">
        <v>11.20763679245283</v>
      </c>
      <c r="Y746" s="10">
        <v>7.7088799999999997</v>
      </c>
      <c r="Z746" s="11" t="str">
        <f t="shared" si="11"/>
        <v/>
      </c>
    </row>
    <row r="747" spans="1:26" x14ac:dyDescent="0.3">
      <c r="A747" t="s">
        <v>746</v>
      </c>
      <c r="B747" t="s">
        <v>2940</v>
      </c>
      <c r="C747" t="s">
        <v>2941</v>
      </c>
      <c r="D747" t="s">
        <v>1014</v>
      </c>
      <c r="E747" t="s">
        <v>1019</v>
      </c>
      <c r="F747" t="s">
        <v>1123</v>
      </c>
      <c r="G747" t="s">
        <v>1588</v>
      </c>
      <c r="H747" s="13">
        <v>1573728.69</v>
      </c>
      <c r="I747" s="14">
        <v>7371139.5099999998</v>
      </c>
      <c r="J747" t="s">
        <v>1061</v>
      </c>
      <c r="K747" s="10">
        <v>4.2563599999999999</v>
      </c>
      <c r="M747" s="10">
        <v>9.4643949056603773</v>
      </c>
      <c r="N747" s="10">
        <v>11.395095</v>
      </c>
      <c r="O747" s="10">
        <v>12.94488788461539</v>
      </c>
      <c r="P747" s="10">
        <v>14.16601692307691</v>
      </c>
      <c r="Q747" s="10">
        <v>14.60673846153845</v>
      </c>
      <c r="R747" s="10">
        <v>14.49922903846155</v>
      </c>
      <c r="S747" s="10">
        <v>14.297871320754719</v>
      </c>
      <c r="T747" s="10">
        <v>14.303800000000001</v>
      </c>
      <c r="U747" s="10">
        <v>14.289958461538451</v>
      </c>
      <c r="V747" s="10">
        <v>14.282326346153861</v>
      </c>
      <c r="W747" s="10">
        <v>4.4734651923076907</v>
      </c>
      <c r="X747" s="10">
        <v>4.2712509433962236</v>
      </c>
      <c r="Y747" s="10">
        <v>4.2607190243902444</v>
      </c>
      <c r="Z747" s="11">
        <f t="shared" si="11"/>
        <v>-0.70541531000000002</v>
      </c>
    </row>
    <row r="748" spans="1:26" x14ac:dyDescent="0.3">
      <c r="A748" t="s">
        <v>747</v>
      </c>
      <c r="B748" t="s">
        <v>2942</v>
      </c>
      <c r="C748" t="s">
        <v>2943</v>
      </c>
      <c r="D748" t="s">
        <v>1014</v>
      </c>
      <c r="E748" t="s">
        <v>1705</v>
      </c>
      <c r="F748" t="s">
        <v>2944</v>
      </c>
      <c r="G748" t="s">
        <v>2945</v>
      </c>
      <c r="H748" s="13">
        <v>482168</v>
      </c>
      <c r="I748" s="14">
        <v>7351531.3600000003</v>
      </c>
      <c r="J748" t="s">
        <v>1052</v>
      </c>
      <c r="K748" s="10">
        <v>15.413</v>
      </c>
      <c r="X748" s="10">
        <v>14.850334137931039</v>
      </c>
      <c r="Y748" s="10">
        <v>15.05297658536586</v>
      </c>
      <c r="Z748" s="11" t="str">
        <f t="shared" si="11"/>
        <v/>
      </c>
    </row>
    <row r="749" spans="1:26" x14ac:dyDescent="0.3">
      <c r="A749" t="s">
        <v>748</v>
      </c>
      <c r="B749" t="s">
        <v>2946</v>
      </c>
      <c r="C749" t="s">
        <v>2947</v>
      </c>
      <c r="D749" t="s">
        <v>1014</v>
      </c>
      <c r="E749" t="s">
        <v>1019</v>
      </c>
      <c r="F749" t="s">
        <v>1123</v>
      </c>
      <c r="G749" t="s">
        <v>2948</v>
      </c>
      <c r="H749" s="13">
        <v>280770.12</v>
      </c>
      <c r="I749" s="14">
        <v>7345046.3600000003</v>
      </c>
      <c r="J749" t="s">
        <v>1061</v>
      </c>
      <c r="K749" s="10">
        <v>7.8732600000000001</v>
      </c>
      <c r="U749" s="10">
        <v>26.264356923076932</v>
      </c>
      <c r="V749" s="10">
        <v>26.29347923076925</v>
      </c>
      <c r="W749" s="10">
        <v>26.36168826923079</v>
      </c>
      <c r="X749" s="10">
        <v>26.32339264150945</v>
      </c>
      <c r="Y749" s="10">
        <v>9.2323085365853643</v>
      </c>
      <c r="Z749" s="11" t="str">
        <f t="shared" si="11"/>
        <v/>
      </c>
    </row>
    <row r="750" spans="1:26" x14ac:dyDescent="0.3">
      <c r="A750" t="s">
        <v>749</v>
      </c>
      <c r="B750" t="s">
        <v>2949</v>
      </c>
      <c r="C750" t="s">
        <v>2950</v>
      </c>
      <c r="D750" t="s">
        <v>1017</v>
      </c>
      <c r="E750" t="s">
        <v>1025</v>
      </c>
      <c r="F750" t="s">
        <v>1918</v>
      </c>
      <c r="G750" t="s">
        <v>2951</v>
      </c>
      <c r="H750" s="13">
        <v>3041.9960000000001</v>
      </c>
      <c r="I750" s="14">
        <v>7332686.1100000003</v>
      </c>
      <c r="J750" t="s">
        <v>1061</v>
      </c>
      <c r="K750" s="10">
        <v>2902.87833</v>
      </c>
      <c r="Y750" s="10">
        <v>2905.206720967743</v>
      </c>
      <c r="Z750" s="11" t="str">
        <f t="shared" si="11"/>
        <v/>
      </c>
    </row>
    <row r="751" spans="1:26" x14ac:dyDescent="0.3">
      <c r="A751" t="s">
        <v>750</v>
      </c>
      <c r="B751" t="s">
        <v>2952</v>
      </c>
      <c r="C751" t="s">
        <v>2953</v>
      </c>
      <c r="D751" t="s">
        <v>1014</v>
      </c>
      <c r="E751" t="s">
        <v>1027</v>
      </c>
      <c r="F751" t="s">
        <v>1984</v>
      </c>
      <c r="G751" t="s">
        <v>1985</v>
      </c>
      <c r="H751" s="13">
        <v>187449</v>
      </c>
      <c r="I751" s="14">
        <v>7327276.0599999996</v>
      </c>
      <c r="J751" t="s">
        <v>1052</v>
      </c>
      <c r="K751" s="10">
        <v>39.115459999999999</v>
      </c>
      <c r="W751" s="10">
        <v>39.233814468085107</v>
      </c>
      <c r="X751" s="10">
        <v>39.161660943396207</v>
      </c>
      <c r="Y751" s="10">
        <v>39.113636829268287</v>
      </c>
      <c r="Z751" s="11" t="str">
        <f t="shared" si="11"/>
        <v/>
      </c>
    </row>
    <row r="752" spans="1:26" x14ac:dyDescent="0.3">
      <c r="A752" t="s">
        <v>751</v>
      </c>
      <c r="B752" t="s">
        <v>2954</v>
      </c>
      <c r="C752" t="s">
        <v>2955</v>
      </c>
      <c r="D752" t="s">
        <v>1014</v>
      </c>
      <c r="E752" t="s">
        <v>1027</v>
      </c>
      <c r="F752" t="s">
        <v>1068</v>
      </c>
      <c r="G752" t="s">
        <v>1904</v>
      </c>
      <c r="H752" s="13">
        <v>11968.42</v>
      </c>
      <c r="I752" s="14">
        <v>7320139.9800000004</v>
      </c>
      <c r="J752" t="s">
        <v>1052</v>
      </c>
      <c r="K752" s="10">
        <v>636.87800000000004</v>
      </c>
      <c r="M752" s="10">
        <v>302.94373283018848</v>
      </c>
      <c r="N752" s="10">
        <v>340.76133788461527</v>
      </c>
      <c r="O752" s="10">
        <v>378.40173846153863</v>
      </c>
      <c r="P752" s="10">
        <v>406.86267346153818</v>
      </c>
      <c r="Q752" s="10">
        <v>435.13932230769228</v>
      </c>
      <c r="R752" s="10">
        <v>466.14470153846179</v>
      </c>
      <c r="S752" s="10">
        <v>485.29096698113239</v>
      </c>
      <c r="T752" s="10">
        <v>509.83071115384638</v>
      </c>
      <c r="U752" s="10">
        <v>532.91643923076924</v>
      </c>
      <c r="V752" s="10">
        <v>565.22736461538511</v>
      </c>
      <c r="W752" s="10">
        <v>589.5517421153844</v>
      </c>
      <c r="X752" s="10">
        <v>619.18396037735829</v>
      </c>
      <c r="Y752" s="10">
        <v>637.73448097560993</v>
      </c>
      <c r="Z752" s="11">
        <f t="shared" si="11"/>
        <v>0.32830848000000001</v>
      </c>
    </row>
    <row r="753" spans="1:26" x14ac:dyDescent="0.3">
      <c r="A753" t="s">
        <v>752</v>
      </c>
      <c r="B753" t="s">
        <v>2956</v>
      </c>
      <c r="C753" t="s">
        <v>2957</v>
      </c>
      <c r="D753" t="s">
        <v>1014</v>
      </c>
      <c r="E753" t="s">
        <v>1027</v>
      </c>
      <c r="F753" t="s">
        <v>1193</v>
      </c>
      <c r="G753" t="s">
        <v>2491</v>
      </c>
      <c r="H753" s="13">
        <v>155754</v>
      </c>
      <c r="I753" s="14">
        <v>7318350.3499999996</v>
      </c>
      <c r="J753" t="s">
        <v>1052</v>
      </c>
      <c r="K753" s="10">
        <v>48.646769999999997</v>
      </c>
      <c r="M753" s="10">
        <v>20.702634905660371</v>
      </c>
      <c r="N753" s="10">
        <v>26.666133846153851</v>
      </c>
      <c r="O753" s="10">
        <v>31.608168461538469</v>
      </c>
      <c r="P753" s="10">
        <v>33.163161730769239</v>
      </c>
      <c r="Q753" s="10">
        <v>35.931245000000011</v>
      </c>
      <c r="R753" s="10">
        <v>37.146920384615363</v>
      </c>
      <c r="S753" s="10">
        <v>38.003301509433982</v>
      </c>
      <c r="T753" s="10">
        <v>39.971426923076898</v>
      </c>
      <c r="U753" s="10">
        <v>42.691076923076913</v>
      </c>
      <c r="V753" s="10">
        <v>46.14730461538462</v>
      </c>
      <c r="W753" s="10">
        <v>46.101699038461547</v>
      </c>
      <c r="X753" s="10">
        <v>47.437719056603768</v>
      </c>
      <c r="Y753" s="10">
        <v>48.759673902439033</v>
      </c>
      <c r="Z753" s="11">
        <f t="shared" si="11"/>
        <v>0.27702966000000001</v>
      </c>
    </row>
    <row r="754" spans="1:26" x14ac:dyDescent="0.3">
      <c r="A754" t="s">
        <v>753</v>
      </c>
      <c r="B754" t="s">
        <v>2958</v>
      </c>
      <c r="C754" t="s">
        <v>2059</v>
      </c>
      <c r="D754" t="s">
        <v>1015</v>
      </c>
      <c r="E754" t="s">
        <v>1030</v>
      </c>
      <c r="F754" t="s">
        <v>2959</v>
      </c>
      <c r="G754" t="s">
        <v>1938</v>
      </c>
      <c r="H754" s="13">
        <v>440368.5</v>
      </c>
      <c r="I754" s="14">
        <v>7299565.1500000004</v>
      </c>
      <c r="J754" t="s">
        <v>1052</v>
      </c>
      <c r="K754" s="10">
        <v>4.56677</v>
      </c>
      <c r="W754" s="10">
        <v>14.664973513513511</v>
      </c>
      <c r="X754" s="10">
        <v>12.409443962264151</v>
      </c>
      <c r="Y754" s="10">
        <v>4.4930756097560964</v>
      </c>
      <c r="Z754" s="11" t="str">
        <f t="shared" si="11"/>
        <v/>
      </c>
    </row>
    <row r="755" spans="1:26" x14ac:dyDescent="0.3">
      <c r="A755" t="s">
        <v>754</v>
      </c>
      <c r="B755" t="s">
        <v>2960</v>
      </c>
      <c r="C755" t="s">
        <v>2961</v>
      </c>
      <c r="D755" t="s">
        <v>1014</v>
      </c>
      <c r="E755" t="s">
        <v>1032</v>
      </c>
      <c r="F755" t="s">
        <v>1193</v>
      </c>
      <c r="G755" t="s">
        <v>2962</v>
      </c>
      <c r="H755" s="13">
        <v>1060388</v>
      </c>
      <c r="I755" s="14">
        <v>7296189.3399999999</v>
      </c>
      <c r="J755" t="s">
        <v>1052</v>
      </c>
      <c r="K755" s="10">
        <v>6.7445899999999996</v>
      </c>
      <c r="M755" s="10">
        <v>3.3882422641509451</v>
      </c>
      <c r="N755" s="10">
        <v>4.3031894230769234</v>
      </c>
      <c r="O755" s="10">
        <v>5.1829342307692334</v>
      </c>
      <c r="P755" s="10">
        <v>5.6068023076923073</v>
      </c>
      <c r="Q755" s="10">
        <v>6.0086167307692318</v>
      </c>
      <c r="R755" s="10">
        <v>6.2005792307692316</v>
      </c>
      <c r="S755" s="10">
        <v>6.355074905660377</v>
      </c>
      <c r="T755" s="10">
        <v>6.5662663461538511</v>
      </c>
      <c r="U755" s="10">
        <v>6.7705215384615451</v>
      </c>
      <c r="V755" s="10">
        <v>6.7663474999999949</v>
      </c>
      <c r="W755" s="10">
        <v>6.7610255769230756</v>
      </c>
      <c r="X755" s="10">
        <v>6.7588352830188683</v>
      </c>
      <c r="Y755" s="10">
        <v>6.7467851219512198</v>
      </c>
      <c r="Z755" s="11">
        <f t="shared" si="11"/>
        <v>9.0032890000000004E-2</v>
      </c>
    </row>
    <row r="756" spans="1:26" x14ac:dyDescent="0.3">
      <c r="A756" t="s">
        <v>755</v>
      </c>
      <c r="B756" t="s">
        <v>2963</v>
      </c>
      <c r="C756" t="s">
        <v>2964</v>
      </c>
      <c r="D756" t="s">
        <v>1015</v>
      </c>
      <c r="E756" t="s">
        <v>1018</v>
      </c>
      <c r="F756" t="s">
        <v>2049</v>
      </c>
      <c r="G756" t="s">
        <v>2965</v>
      </c>
      <c r="H756" s="13">
        <v>45895501.5</v>
      </c>
      <c r="I756" s="14">
        <v>7284502.8700000001</v>
      </c>
      <c r="J756" t="s">
        <v>1052</v>
      </c>
      <c r="K756" s="10">
        <v>4.657E-2</v>
      </c>
      <c r="U756" s="10">
        <v>7.3291730769230748E-2</v>
      </c>
      <c r="V756" s="10">
        <v>6.6144230769230788E-2</v>
      </c>
      <c r="W756" s="10">
        <v>6.4420769230769212E-2</v>
      </c>
      <c r="X756" s="10">
        <v>5.3617547169811347E-2</v>
      </c>
      <c r="Y756" s="10">
        <v>4.9702439024390262E-2</v>
      </c>
      <c r="Z756" s="11" t="str">
        <f t="shared" si="11"/>
        <v/>
      </c>
    </row>
    <row r="757" spans="1:26" x14ac:dyDescent="0.3">
      <c r="A757" t="s">
        <v>756</v>
      </c>
      <c r="B757" t="s">
        <v>2966</v>
      </c>
      <c r="C757" t="s">
        <v>2967</v>
      </c>
      <c r="D757" t="s">
        <v>1014</v>
      </c>
      <c r="E757" t="s">
        <v>1030</v>
      </c>
      <c r="F757" t="s">
        <v>2651</v>
      </c>
      <c r="G757" t="s">
        <v>2652</v>
      </c>
      <c r="H757" s="13">
        <v>638205</v>
      </c>
      <c r="I757" s="14">
        <v>7283575.5599999996</v>
      </c>
      <c r="J757" t="s">
        <v>1052</v>
      </c>
      <c r="K757" s="10">
        <v>11.85628</v>
      </c>
      <c r="Q757" s="10">
        <v>7.5517236538461594</v>
      </c>
      <c r="R757" s="10">
        <v>8.1930988461538536</v>
      </c>
      <c r="S757" s="10">
        <v>8.7681898113207559</v>
      </c>
      <c r="T757" s="10">
        <v>9.2058594230769195</v>
      </c>
      <c r="U757" s="10">
        <v>9.6543199999999949</v>
      </c>
      <c r="V757" s="10">
        <v>10.127512307692299</v>
      </c>
      <c r="W757" s="10">
        <v>10.72834269230769</v>
      </c>
      <c r="X757" s="10">
        <v>11.302452830188679</v>
      </c>
      <c r="Y757" s="10">
        <v>11.845520731707319</v>
      </c>
      <c r="Z757" s="11">
        <f t="shared" si="11"/>
        <v>0.37950890999999998</v>
      </c>
    </row>
    <row r="758" spans="1:26" x14ac:dyDescent="0.3">
      <c r="A758" t="s">
        <v>757</v>
      </c>
      <c r="B758" t="s">
        <v>2968</v>
      </c>
      <c r="C758" t="s">
        <v>2969</v>
      </c>
      <c r="D758" t="s">
        <v>1015</v>
      </c>
      <c r="E758" t="s">
        <v>1705</v>
      </c>
      <c r="F758" t="s">
        <v>2079</v>
      </c>
      <c r="G758" t="s">
        <v>2970</v>
      </c>
      <c r="H758" s="13">
        <v>29642742</v>
      </c>
      <c r="I758" s="14">
        <v>7265495.9500000002</v>
      </c>
      <c r="J758" t="s">
        <v>1052</v>
      </c>
      <c r="K758" s="10">
        <v>0.17111000000000001</v>
      </c>
      <c r="T758" s="10">
        <v>0.1940159615384616</v>
      </c>
      <c r="U758" s="10">
        <v>0.17968076923076931</v>
      </c>
      <c r="V758" s="10">
        <v>0.16955500000000001</v>
      </c>
      <c r="W758" s="10">
        <v>0.17781153846153841</v>
      </c>
      <c r="X758" s="10">
        <v>0.17249905660377349</v>
      </c>
      <c r="Y758" s="10">
        <v>0.17132024390243891</v>
      </c>
      <c r="Z758" s="11" t="str">
        <f t="shared" si="11"/>
        <v/>
      </c>
    </row>
    <row r="759" spans="1:26" x14ac:dyDescent="0.3">
      <c r="A759" t="s">
        <v>758</v>
      </c>
      <c r="B759" t="s">
        <v>2971</v>
      </c>
      <c r="C759" t="s">
        <v>2972</v>
      </c>
      <c r="D759" t="s">
        <v>1014</v>
      </c>
      <c r="E759" t="s">
        <v>1027</v>
      </c>
      <c r="F759" t="s">
        <v>1382</v>
      </c>
      <c r="G759" t="s">
        <v>1523</v>
      </c>
      <c r="H759" s="13">
        <v>793.63599999999997</v>
      </c>
      <c r="I759" s="14">
        <v>7250997.5800000001</v>
      </c>
      <c r="J759" t="s">
        <v>1061</v>
      </c>
      <c r="K759" s="10">
        <v>9451.0123800000001</v>
      </c>
      <c r="Y759" s="10">
        <v>9451.012379999991</v>
      </c>
      <c r="Z759" s="11" t="str">
        <f t="shared" si="11"/>
        <v/>
      </c>
    </row>
    <row r="760" spans="1:26" x14ac:dyDescent="0.3">
      <c r="A760" t="s">
        <v>759</v>
      </c>
      <c r="B760" t="s">
        <v>2973</v>
      </c>
      <c r="C760" t="s">
        <v>2974</v>
      </c>
      <c r="D760" t="s">
        <v>1014</v>
      </c>
      <c r="E760" t="s">
        <v>1027</v>
      </c>
      <c r="F760" t="s">
        <v>1755</v>
      </c>
      <c r="G760" t="s">
        <v>1821</v>
      </c>
      <c r="H760" s="13">
        <v>168519</v>
      </c>
      <c r="I760" s="14">
        <v>7235877.21</v>
      </c>
      <c r="J760" t="s">
        <v>1052</v>
      </c>
      <c r="K760" s="10">
        <v>44.24295</v>
      </c>
      <c r="P760" s="10">
        <v>26.785139999999991</v>
      </c>
      <c r="Q760" s="10">
        <v>29.390347500000001</v>
      </c>
      <c r="R760" s="10">
        <v>31.026234615384631</v>
      </c>
      <c r="S760" s="10">
        <v>32.382161320754712</v>
      </c>
      <c r="T760" s="10">
        <v>34.161393653846147</v>
      </c>
      <c r="U760" s="10">
        <v>35.683316153846199</v>
      </c>
      <c r="V760" s="10">
        <v>38.172978846153818</v>
      </c>
      <c r="W760" s="10">
        <v>40.58634076923078</v>
      </c>
      <c r="X760" s="10">
        <v>42.980429056603789</v>
      </c>
      <c r="Y760" s="10">
        <v>44.211520000000007</v>
      </c>
      <c r="Z760" s="11">
        <f t="shared" si="11"/>
        <v>0.38529310999999999</v>
      </c>
    </row>
    <row r="761" spans="1:26" x14ac:dyDescent="0.3">
      <c r="A761" t="s">
        <v>760</v>
      </c>
      <c r="B761" t="s">
        <v>2975</v>
      </c>
      <c r="C761" t="s">
        <v>2880</v>
      </c>
      <c r="D761" t="s">
        <v>1015</v>
      </c>
      <c r="E761" t="s">
        <v>1026</v>
      </c>
      <c r="F761" t="s">
        <v>2234</v>
      </c>
      <c r="G761" t="s">
        <v>2881</v>
      </c>
      <c r="H761" s="13">
        <v>1718013.4620000001</v>
      </c>
      <c r="I761" s="14">
        <v>7224713.9500000002</v>
      </c>
      <c r="J761" t="s">
        <v>1052</v>
      </c>
      <c r="K761" s="10">
        <v>0.46976000000000001</v>
      </c>
      <c r="M761" s="10">
        <v>2.364238490566037</v>
      </c>
      <c r="N761" s="10">
        <v>2.0494342307692319</v>
      </c>
      <c r="O761" s="10">
        <v>1.8863109615384619</v>
      </c>
      <c r="P761" s="10">
        <v>1.5885625000000001</v>
      </c>
      <c r="Q761" s="10">
        <v>1.2536425</v>
      </c>
      <c r="R761" s="10">
        <v>1.1901298076923079</v>
      </c>
      <c r="S761" s="10">
        <v>1.1445001886792461</v>
      </c>
      <c r="T761" s="10">
        <v>0.92869134615384674</v>
      </c>
      <c r="U761" s="10">
        <v>0.68513557692307714</v>
      </c>
      <c r="V761" s="10">
        <v>0.66494903846153841</v>
      </c>
      <c r="W761" s="10">
        <v>0.63281692307692294</v>
      </c>
      <c r="X761" s="10">
        <v>0.57723056603773593</v>
      </c>
      <c r="Y761" s="10">
        <v>0.45395390243902439</v>
      </c>
      <c r="Z761" s="11">
        <f t="shared" si="11"/>
        <v>-0.51498520000000003</v>
      </c>
    </row>
    <row r="762" spans="1:26" x14ac:dyDescent="0.3">
      <c r="A762" t="s">
        <v>761</v>
      </c>
      <c r="B762" t="s">
        <v>2976</v>
      </c>
      <c r="C762" t="s">
        <v>2462</v>
      </c>
      <c r="D762" t="s">
        <v>1015</v>
      </c>
      <c r="E762" t="s">
        <v>1027</v>
      </c>
      <c r="F762" t="s">
        <v>2288</v>
      </c>
      <c r="G762" t="s">
        <v>2463</v>
      </c>
      <c r="H762" s="13">
        <v>26376974</v>
      </c>
      <c r="I762" s="14">
        <v>7218043.3399999999</v>
      </c>
      <c r="J762" t="s">
        <v>1052</v>
      </c>
      <c r="K762" s="10">
        <v>0.13492999999999999</v>
      </c>
      <c r="Q762" s="10">
        <v>0.20146230769230769</v>
      </c>
      <c r="R762" s="10">
        <v>0.16968865384615389</v>
      </c>
      <c r="S762" s="10">
        <v>0.1626115094339623</v>
      </c>
      <c r="T762" s="10">
        <v>0.13776076923076919</v>
      </c>
      <c r="U762" s="10">
        <v>0.1195561538461539</v>
      </c>
      <c r="V762" s="10">
        <v>0.1123650000000001</v>
      </c>
      <c r="W762" s="10">
        <v>0.1039017307692308</v>
      </c>
      <c r="X762" s="10">
        <v>9.9885660377358493E-2</v>
      </c>
      <c r="Y762" s="10">
        <v>0.1199741463414634</v>
      </c>
      <c r="Z762" s="11">
        <f t="shared" si="11"/>
        <v>-0.41135923000000002</v>
      </c>
    </row>
    <row r="763" spans="1:26" x14ac:dyDescent="0.3">
      <c r="A763" t="s">
        <v>762</v>
      </c>
      <c r="B763" t="s">
        <v>2977</v>
      </c>
      <c r="C763" t="s">
        <v>2067</v>
      </c>
      <c r="D763" t="s">
        <v>1014</v>
      </c>
      <c r="E763" t="s">
        <v>1019</v>
      </c>
      <c r="F763" t="s">
        <v>1305</v>
      </c>
      <c r="G763" t="s">
        <v>1306</v>
      </c>
      <c r="H763" s="13">
        <v>662899.5</v>
      </c>
      <c r="I763" s="14">
        <v>7213322.4000000004</v>
      </c>
      <c r="J763" t="s">
        <v>1052</v>
      </c>
      <c r="K763" s="10">
        <v>10.54364</v>
      </c>
      <c r="M763" s="10">
        <v>9.5032333962264204</v>
      </c>
      <c r="N763" s="10">
        <v>10.913166538461541</v>
      </c>
      <c r="O763" s="10">
        <v>11.77001192307692</v>
      </c>
      <c r="P763" s="10">
        <v>12.48119692307692</v>
      </c>
      <c r="Q763" s="10">
        <v>13.68451192307692</v>
      </c>
      <c r="R763" s="10">
        <v>14.42457461538463</v>
      </c>
      <c r="S763" s="10">
        <v>15.111393396226401</v>
      </c>
      <c r="T763" s="10">
        <v>15.86044096153846</v>
      </c>
      <c r="U763" s="10">
        <v>16.648409807692321</v>
      </c>
      <c r="V763" s="10">
        <v>17.460167499999979</v>
      </c>
      <c r="W763" s="10">
        <v>18.30385076923076</v>
      </c>
      <c r="X763" s="10">
        <v>10.551277358490569</v>
      </c>
      <c r="Y763" s="10">
        <v>10.546358292682919</v>
      </c>
      <c r="Z763" s="11">
        <f t="shared" si="11"/>
        <v>-0.26852072999999999</v>
      </c>
    </row>
    <row r="764" spans="1:26" x14ac:dyDescent="0.3">
      <c r="A764" t="s">
        <v>763</v>
      </c>
      <c r="B764" t="s">
        <v>2978</v>
      </c>
      <c r="C764" t="s">
        <v>2291</v>
      </c>
      <c r="D764" t="s">
        <v>1015</v>
      </c>
      <c r="E764" t="s">
        <v>1030</v>
      </c>
      <c r="F764" t="s">
        <v>2451</v>
      </c>
      <c r="G764" t="s">
        <v>2292</v>
      </c>
      <c r="H764" s="13">
        <v>5410000.4210000001</v>
      </c>
      <c r="I764" s="14">
        <v>7206067.4199999999</v>
      </c>
      <c r="J764" t="s">
        <v>1052</v>
      </c>
      <c r="K764" s="10">
        <v>1.1374599999999999</v>
      </c>
      <c r="M764" s="10">
        <v>0.97850075471698106</v>
      </c>
      <c r="N764" s="10">
        <v>0.87083423076923094</v>
      </c>
      <c r="O764" s="10">
        <v>0.89152884615384609</v>
      </c>
      <c r="P764" s="10">
        <v>0.81436846153846132</v>
      </c>
      <c r="Q764" s="10">
        <v>0.74207192307692305</v>
      </c>
      <c r="R764" s="10">
        <v>0.74672230769230719</v>
      </c>
      <c r="S764" s="10">
        <v>0.7821152830188679</v>
      </c>
      <c r="T764" s="10">
        <v>0.77560115384615336</v>
      </c>
      <c r="U764" s="10">
        <v>0.73306250000000006</v>
      </c>
      <c r="V764" s="10">
        <v>0.74069500000000044</v>
      </c>
      <c r="W764" s="10">
        <v>0.96393019230769217</v>
      </c>
      <c r="X764" s="10">
        <v>1.1789571698113199</v>
      </c>
      <c r="Y764" s="10">
        <v>1.197684878048781</v>
      </c>
      <c r="Z764" s="11">
        <f t="shared" si="11"/>
        <v>0.57884283999999997</v>
      </c>
    </row>
    <row r="765" spans="1:26" x14ac:dyDescent="0.3">
      <c r="A765" t="s">
        <v>764</v>
      </c>
      <c r="B765" t="s">
        <v>2979</v>
      </c>
      <c r="C765" t="s">
        <v>2740</v>
      </c>
      <c r="D765" t="s">
        <v>1015</v>
      </c>
      <c r="E765" t="s">
        <v>1027</v>
      </c>
      <c r="F765" t="s">
        <v>1837</v>
      </c>
      <c r="G765" t="s">
        <v>2741</v>
      </c>
      <c r="H765" s="13">
        <v>39758471.710000001</v>
      </c>
      <c r="I765" s="14">
        <v>7194501.6799999997</v>
      </c>
      <c r="J765" t="s">
        <v>1052</v>
      </c>
      <c r="K765" s="10">
        <v>5.074E-2</v>
      </c>
      <c r="O765" s="10">
        <v>5.430666666666667E-2</v>
      </c>
      <c r="P765" s="10">
        <v>5.4521153846153823E-2</v>
      </c>
      <c r="Q765" s="10">
        <v>5.3841346153846163E-2</v>
      </c>
      <c r="R765" s="10">
        <v>5.7881923076923067E-2</v>
      </c>
      <c r="S765" s="10">
        <v>6.4713962264150937E-2</v>
      </c>
      <c r="T765" s="10">
        <v>6.2908269230769226E-2</v>
      </c>
      <c r="U765" s="10">
        <v>5.8148076923076927E-2</v>
      </c>
      <c r="V765" s="10">
        <v>5.5965769230769243E-2</v>
      </c>
      <c r="W765" s="10">
        <v>5.2647115384615382E-2</v>
      </c>
      <c r="X765" s="10">
        <v>5.1569811320754742E-2</v>
      </c>
      <c r="Y765" s="10">
        <v>5.0852926829268293E-2</v>
      </c>
      <c r="Z765" s="11">
        <f t="shared" si="11"/>
        <v>-0.10905152</v>
      </c>
    </row>
    <row r="766" spans="1:26" x14ac:dyDescent="0.3">
      <c r="A766" t="s">
        <v>765</v>
      </c>
      <c r="B766" t="s">
        <v>2980</v>
      </c>
      <c r="C766" t="s">
        <v>2981</v>
      </c>
      <c r="D766" t="s">
        <v>1014</v>
      </c>
      <c r="E766" t="s">
        <v>1024</v>
      </c>
      <c r="F766" t="s">
        <v>2982</v>
      </c>
      <c r="G766" t="s">
        <v>2983</v>
      </c>
      <c r="H766" s="13">
        <v>1213231.56</v>
      </c>
      <c r="I766" s="14">
        <v>7179160.9699999997</v>
      </c>
      <c r="J766" t="s">
        <v>1163</v>
      </c>
      <c r="K766" s="10">
        <v>6.0541099999999997</v>
      </c>
      <c r="T766" s="10">
        <v>4.4517154545454529</v>
      </c>
      <c r="U766" s="10">
        <v>4.8730559615384594</v>
      </c>
      <c r="V766" s="10">
        <v>5.397195192307688</v>
      </c>
      <c r="W766" s="10">
        <v>5.5706865384615387</v>
      </c>
      <c r="X766" s="10">
        <v>5.7896775471698101</v>
      </c>
      <c r="Y766" s="10">
        <v>6.0621509756097574</v>
      </c>
      <c r="Z766" s="11" t="str">
        <f t="shared" si="11"/>
        <v/>
      </c>
    </row>
    <row r="767" spans="1:26" x14ac:dyDescent="0.3">
      <c r="A767" t="s">
        <v>766</v>
      </c>
      <c r="B767" t="s">
        <v>2984</v>
      </c>
      <c r="C767" t="s">
        <v>2985</v>
      </c>
      <c r="D767" t="s">
        <v>1015</v>
      </c>
      <c r="E767" t="s">
        <v>1027</v>
      </c>
      <c r="F767" t="s">
        <v>1624</v>
      </c>
      <c r="G767" t="s">
        <v>2986</v>
      </c>
      <c r="H767" s="13">
        <v>1682574</v>
      </c>
      <c r="I767" s="14">
        <v>7175834.3600000003</v>
      </c>
      <c r="J767" t="s">
        <v>1052</v>
      </c>
      <c r="K767" s="10">
        <v>2.7008800000000002</v>
      </c>
      <c r="W767" s="10">
        <v>4.9113255769230779</v>
      </c>
      <c r="X767" s="10">
        <v>4.0112892452830193</v>
      </c>
      <c r="Y767" s="10">
        <v>2.95749975609756</v>
      </c>
      <c r="Z767" s="11" t="str">
        <f t="shared" si="11"/>
        <v/>
      </c>
    </row>
    <row r="768" spans="1:26" x14ac:dyDescent="0.3">
      <c r="A768" t="s">
        <v>767</v>
      </c>
      <c r="B768" t="s">
        <v>2987</v>
      </c>
      <c r="C768" t="s">
        <v>2850</v>
      </c>
      <c r="D768" t="s">
        <v>1015</v>
      </c>
      <c r="E768" t="s">
        <v>1027</v>
      </c>
      <c r="F768" t="s">
        <v>1382</v>
      </c>
      <c r="G768" t="s">
        <v>2851</v>
      </c>
      <c r="H768" s="13">
        <v>39218735.420000002</v>
      </c>
      <c r="I768" s="14">
        <v>7163804.9299999997</v>
      </c>
      <c r="J768" t="s">
        <v>1052</v>
      </c>
      <c r="K768" s="10">
        <v>3.074E-2</v>
      </c>
      <c r="T768" s="10">
        <v>4.0708461538461527E-2</v>
      </c>
      <c r="U768" s="10">
        <v>3.6930769230769218E-2</v>
      </c>
      <c r="V768" s="10">
        <v>3.5115384615384611E-2</v>
      </c>
      <c r="W768" s="10">
        <v>3.311769230769232E-2</v>
      </c>
      <c r="X768" s="10">
        <v>3.4253584905660363E-2</v>
      </c>
      <c r="Y768" s="10">
        <v>3.2825365853658528E-2</v>
      </c>
      <c r="Z768" s="11" t="str">
        <f t="shared" si="11"/>
        <v/>
      </c>
    </row>
    <row r="769" spans="1:26" x14ac:dyDescent="0.3">
      <c r="A769" t="s">
        <v>768</v>
      </c>
      <c r="B769" t="s">
        <v>2988</v>
      </c>
      <c r="C769" t="s">
        <v>2989</v>
      </c>
      <c r="D769" t="s">
        <v>1014</v>
      </c>
      <c r="E769" t="s">
        <v>1030</v>
      </c>
      <c r="F769" t="s">
        <v>2279</v>
      </c>
      <c r="G769" t="s">
        <v>2280</v>
      </c>
      <c r="H769" s="13">
        <v>290692</v>
      </c>
      <c r="I769" s="14">
        <v>7158878.6600000001</v>
      </c>
      <c r="J769" t="s">
        <v>1052</v>
      </c>
      <c r="K769" s="10">
        <v>26.537099999999999</v>
      </c>
      <c r="M769" s="10">
        <v>10.85004867924528</v>
      </c>
      <c r="N769" s="10">
        <v>11.944014166666671</v>
      </c>
      <c r="O769" s="10">
        <v>13.43751865384615</v>
      </c>
      <c r="P769" s="10">
        <v>14.573318461538451</v>
      </c>
      <c r="Q769" s="10">
        <v>15.91278692307692</v>
      </c>
      <c r="R769" s="10">
        <v>17.462676153846161</v>
      </c>
      <c r="S769" s="10">
        <v>18.323252641509431</v>
      </c>
      <c r="T769" s="10">
        <v>19.226056538461531</v>
      </c>
      <c r="U769" s="10">
        <v>20.266079999999992</v>
      </c>
      <c r="V769" s="10">
        <v>21.262384615384629</v>
      </c>
      <c r="W769" s="10">
        <v>23.16200499999999</v>
      </c>
      <c r="X769" s="10">
        <v>24.476613018867919</v>
      </c>
      <c r="Y769" s="10">
        <v>26.53475975609755</v>
      </c>
      <c r="Z769" s="11">
        <f t="shared" si="11"/>
        <v>0.40165303000000002</v>
      </c>
    </row>
    <row r="770" spans="1:26" x14ac:dyDescent="0.3">
      <c r="A770" t="s">
        <v>769</v>
      </c>
      <c r="B770" t="s">
        <v>2990</v>
      </c>
      <c r="C770" t="s">
        <v>2407</v>
      </c>
      <c r="D770" t="s">
        <v>1015</v>
      </c>
      <c r="E770" t="s">
        <v>1032</v>
      </c>
      <c r="F770" t="s">
        <v>1837</v>
      </c>
      <c r="G770" t="s">
        <v>2408</v>
      </c>
      <c r="H770" s="13">
        <v>8671085</v>
      </c>
      <c r="I770" s="14">
        <v>7131128.2199999997</v>
      </c>
      <c r="J770" t="s">
        <v>1061</v>
      </c>
      <c r="K770" s="10">
        <v>0.67608000000000001</v>
      </c>
      <c r="Q770" s="10">
        <v>1.179048536585366</v>
      </c>
      <c r="R770" s="10">
        <v>0.93183615384615404</v>
      </c>
      <c r="S770" s="10">
        <v>0.82030490566037695</v>
      </c>
      <c r="T770" s="10">
        <v>0.72369442307692311</v>
      </c>
      <c r="U770" s="10">
        <v>0.54206038461538486</v>
      </c>
      <c r="V770" s="10">
        <v>0.62343230769230762</v>
      </c>
      <c r="W770" s="10">
        <v>0.68352557692307703</v>
      </c>
      <c r="X770" s="10">
        <v>0.8320286792452829</v>
      </c>
      <c r="Y770" s="10">
        <v>0.71572853658536595</v>
      </c>
      <c r="Z770" s="11">
        <f t="shared" ref="Z770:Z833" si="12">IF(AND(ISNUMBER(INDEX($L770:$Y770,MATCH(BaseYear,p_years,0))),ISNUMBER(INDEX($L770:$Y770,MATCH(EndYear,p_years,0)))),ROUND(INDEX($L770:$Y770,MATCH(EndYear,p_years,0))/INDEX($L770:$Y770,MATCH(BaseYear,p_years,0))-1,8),"")</f>
        <v>-0.10710839</v>
      </c>
    </row>
    <row r="771" spans="1:26" x14ac:dyDescent="0.3">
      <c r="A771" t="s">
        <v>770</v>
      </c>
      <c r="B771" t="s">
        <v>2991</v>
      </c>
      <c r="C771" t="s">
        <v>2992</v>
      </c>
      <c r="D771" t="s">
        <v>1014</v>
      </c>
      <c r="E771" t="s">
        <v>1027</v>
      </c>
      <c r="F771" t="s">
        <v>1055</v>
      </c>
      <c r="G771" t="s">
        <v>2993</v>
      </c>
      <c r="H771" s="13">
        <v>863336</v>
      </c>
      <c r="I771" s="14">
        <v>7128788.79</v>
      </c>
      <c r="J771" t="s">
        <v>1052</v>
      </c>
      <c r="K771" s="10">
        <v>8.1586599999999994</v>
      </c>
      <c r="M771" s="10">
        <v>3.0601894339622642</v>
      </c>
      <c r="N771" s="10">
        <v>3.705715769230769</v>
      </c>
      <c r="O771" s="10">
        <v>4.485944038461537</v>
      </c>
      <c r="P771" s="10">
        <v>5.0841098076923092</v>
      </c>
      <c r="Q771" s="10">
        <v>5.5610023076923101</v>
      </c>
      <c r="R771" s="10">
        <v>6.0907923076923058</v>
      </c>
      <c r="S771" s="10">
        <v>6.4053350943396188</v>
      </c>
      <c r="T771" s="10">
        <v>6.7276536538461524</v>
      </c>
      <c r="U771" s="10">
        <v>7.0410484615384696</v>
      </c>
      <c r="V771" s="10">
        <v>7.4039644230769239</v>
      </c>
      <c r="W771" s="10">
        <v>7.7628332692307644</v>
      </c>
      <c r="X771" s="10">
        <v>8.1596086792452862</v>
      </c>
      <c r="Y771" s="10">
        <v>8.1592275609756104</v>
      </c>
      <c r="Z771" s="11">
        <f t="shared" si="12"/>
        <v>0.33966292999999997</v>
      </c>
    </row>
    <row r="772" spans="1:26" x14ac:dyDescent="0.3">
      <c r="A772" t="s">
        <v>771</v>
      </c>
      <c r="B772" t="s">
        <v>2994</v>
      </c>
      <c r="C772" t="s">
        <v>2995</v>
      </c>
      <c r="D772" t="s">
        <v>1015</v>
      </c>
      <c r="E772" t="s">
        <v>1030</v>
      </c>
      <c r="F772" t="s">
        <v>1608</v>
      </c>
      <c r="G772" t="s">
        <v>1619</v>
      </c>
      <c r="H772" s="13">
        <v>3743992.5</v>
      </c>
      <c r="I772" s="14">
        <v>7123950.3399999999</v>
      </c>
      <c r="J772" t="s">
        <v>1052</v>
      </c>
      <c r="K772" s="10">
        <v>0.52137999999999995</v>
      </c>
      <c r="M772" s="10">
        <v>3.512604761904762</v>
      </c>
      <c r="N772" s="10">
        <v>3.3624896153846149</v>
      </c>
      <c r="O772" s="10">
        <v>3.3223538461538471</v>
      </c>
      <c r="P772" s="10">
        <v>2.933747307692308</v>
      </c>
      <c r="Q772" s="10">
        <v>2.2101182692307701</v>
      </c>
      <c r="R772" s="10">
        <v>1.417311923076924</v>
      </c>
      <c r="S772" s="10">
        <v>1.0052320754716979</v>
      </c>
      <c r="T772" s="10">
        <v>0.93192980769230771</v>
      </c>
      <c r="U772" s="10">
        <v>0.73099019230769247</v>
      </c>
      <c r="V772" s="10">
        <v>0.59156865384615365</v>
      </c>
      <c r="W772" s="10">
        <v>0.53699076923076938</v>
      </c>
      <c r="X772" s="10">
        <v>0.49918811320754702</v>
      </c>
      <c r="Y772" s="10">
        <v>0.46077048780487823</v>
      </c>
      <c r="Z772" s="11">
        <f t="shared" si="12"/>
        <v>-0.64779233999999997</v>
      </c>
    </row>
    <row r="773" spans="1:26" x14ac:dyDescent="0.3">
      <c r="A773" t="s">
        <v>772</v>
      </c>
      <c r="B773" t="s">
        <v>2996</v>
      </c>
      <c r="C773" t="s">
        <v>1872</v>
      </c>
      <c r="D773" t="s">
        <v>1014</v>
      </c>
      <c r="E773" t="s">
        <v>1019</v>
      </c>
      <c r="F773" t="s">
        <v>1081</v>
      </c>
      <c r="G773" t="s">
        <v>1873</v>
      </c>
      <c r="H773" s="13">
        <v>714296</v>
      </c>
      <c r="I773" s="14">
        <v>7121917.4000000004</v>
      </c>
      <c r="J773" t="s">
        <v>1052</v>
      </c>
      <c r="K773" s="10">
        <v>5.6012700000000004</v>
      </c>
      <c r="O773" s="10">
        <v>6.3066343243243228</v>
      </c>
      <c r="P773" s="10">
        <v>6.9251338461538499</v>
      </c>
      <c r="Q773" s="10">
        <v>7.4604596153846163</v>
      </c>
      <c r="R773" s="10">
        <v>7.9087880769230727</v>
      </c>
      <c r="S773" s="10">
        <v>8.3537720754716975</v>
      </c>
      <c r="T773" s="10">
        <v>8.7893734615384655</v>
      </c>
      <c r="U773" s="10">
        <v>9.0902126923076896</v>
      </c>
      <c r="V773" s="10">
        <v>9.4705975000000073</v>
      </c>
      <c r="W773" s="10">
        <v>9.7678469230769203</v>
      </c>
      <c r="X773" s="10">
        <v>10.06719245283019</v>
      </c>
      <c r="Y773" s="10">
        <v>5.601811707317073</v>
      </c>
      <c r="Z773" s="11">
        <f t="shared" si="12"/>
        <v>0.27291215000000002</v>
      </c>
    </row>
    <row r="774" spans="1:26" x14ac:dyDescent="0.3">
      <c r="A774" t="s">
        <v>773</v>
      </c>
      <c r="B774" t="s">
        <v>2997</v>
      </c>
      <c r="C774" t="s">
        <v>2998</v>
      </c>
      <c r="D774" t="s">
        <v>1015</v>
      </c>
      <c r="E774" t="s">
        <v>1027</v>
      </c>
      <c r="F774" t="s">
        <v>2288</v>
      </c>
      <c r="G774" t="s">
        <v>2463</v>
      </c>
      <c r="H774" s="13">
        <v>25758528</v>
      </c>
      <c r="I774" s="14">
        <v>7117433.1500000004</v>
      </c>
      <c r="J774" t="s">
        <v>1052</v>
      </c>
      <c r="K774" s="10">
        <v>0.10242999999999999</v>
      </c>
      <c r="T774" s="10">
        <v>0.1215014814814815</v>
      </c>
      <c r="U774" s="10">
        <v>0.1043721153846154</v>
      </c>
      <c r="V774" s="10">
        <v>0.1004882692307693</v>
      </c>
      <c r="W774" s="10">
        <v>8.132250000000002E-2</v>
      </c>
      <c r="X774" s="10">
        <v>7.8271698113207555E-2</v>
      </c>
      <c r="Y774" s="10">
        <v>9.3416097560975575E-2</v>
      </c>
      <c r="Z774" s="11" t="str">
        <f t="shared" si="12"/>
        <v/>
      </c>
    </row>
    <row r="775" spans="1:26" x14ac:dyDescent="0.3">
      <c r="A775" t="s">
        <v>774</v>
      </c>
      <c r="B775" t="s">
        <v>2999</v>
      </c>
      <c r="C775" t="s">
        <v>3000</v>
      </c>
      <c r="D775" t="s">
        <v>1014</v>
      </c>
      <c r="E775" t="s">
        <v>1027</v>
      </c>
      <c r="F775" t="s">
        <v>1241</v>
      </c>
      <c r="G775" t="s">
        <v>2377</v>
      </c>
      <c r="H775" s="13">
        <v>822632</v>
      </c>
      <c r="I775" s="14">
        <v>7111737.7599999998</v>
      </c>
      <c r="J775" t="s">
        <v>1052</v>
      </c>
      <c r="K775" s="10">
        <v>9.0242000000000004</v>
      </c>
      <c r="M775" s="10">
        <v>5.5579079245282967</v>
      </c>
      <c r="N775" s="10">
        <v>6.0245944230769197</v>
      </c>
      <c r="O775" s="10">
        <v>6.2458575000000014</v>
      </c>
      <c r="P775" s="10">
        <v>6.5635380769230824</v>
      </c>
      <c r="Q775" s="10">
        <v>6.7772419230769207</v>
      </c>
      <c r="R775" s="10">
        <v>6.8189505769230712</v>
      </c>
      <c r="S775" s="10">
        <v>7.0342522641509433</v>
      </c>
      <c r="T775" s="10">
        <v>7.1612961538461581</v>
      </c>
      <c r="U775" s="10">
        <v>7.7114061538461431</v>
      </c>
      <c r="V775" s="10">
        <v>8.1798209615384678</v>
      </c>
      <c r="W775" s="10">
        <v>8.5446773076923108</v>
      </c>
      <c r="X775" s="10">
        <v>8.7859111320754675</v>
      </c>
      <c r="Y775" s="10">
        <v>9.0194841463414637</v>
      </c>
      <c r="Z775" s="11">
        <f t="shared" si="12"/>
        <v>0.28845502000000001</v>
      </c>
    </row>
    <row r="776" spans="1:26" x14ac:dyDescent="0.3">
      <c r="A776" t="s">
        <v>775</v>
      </c>
      <c r="B776" t="s">
        <v>3001</v>
      </c>
      <c r="C776" t="s">
        <v>2870</v>
      </c>
      <c r="D776" t="s">
        <v>1015</v>
      </c>
      <c r="E776" t="s">
        <v>1030</v>
      </c>
      <c r="F776" t="s">
        <v>2677</v>
      </c>
      <c r="G776" t="s">
        <v>2871</v>
      </c>
      <c r="H776" s="13">
        <v>4299959.01</v>
      </c>
      <c r="I776" s="14">
        <v>7110430.0700000003</v>
      </c>
      <c r="J776" t="s">
        <v>1052</v>
      </c>
      <c r="K776" s="10">
        <v>1.8725099999999999</v>
      </c>
      <c r="M776" s="10">
        <v>1.8305998113207551</v>
      </c>
      <c r="N776" s="10">
        <v>1.7505528846153851</v>
      </c>
      <c r="O776" s="10">
        <v>1.6881984615384611</v>
      </c>
      <c r="P776" s="10">
        <v>1.6747144230769231</v>
      </c>
      <c r="Q776" s="10">
        <v>1.656318269230769</v>
      </c>
      <c r="R776" s="10">
        <v>1.6780709615384619</v>
      </c>
      <c r="S776" s="10">
        <v>1.684786037735849</v>
      </c>
      <c r="T776" s="10">
        <v>1.684090192307693</v>
      </c>
      <c r="U776" s="10">
        <v>1.6413761538461551</v>
      </c>
      <c r="V776" s="10">
        <v>1.579117884615383</v>
      </c>
      <c r="W776" s="10">
        <v>1.4774613461538459</v>
      </c>
      <c r="X776" s="10">
        <v>1.51379</v>
      </c>
      <c r="Y776" s="10">
        <v>1.698092682926829</v>
      </c>
      <c r="Z776" s="11">
        <f t="shared" si="12"/>
        <v>-9.7898700000000005E-2</v>
      </c>
    </row>
    <row r="777" spans="1:26" x14ac:dyDescent="0.3">
      <c r="A777" t="s">
        <v>776</v>
      </c>
      <c r="B777" t="s">
        <v>3002</v>
      </c>
      <c r="C777" t="s">
        <v>3003</v>
      </c>
      <c r="D777" t="s">
        <v>1014</v>
      </c>
      <c r="E777" t="s">
        <v>1032</v>
      </c>
      <c r="F777" t="s">
        <v>1270</v>
      </c>
      <c r="G777" t="s">
        <v>3004</v>
      </c>
      <c r="H777" s="13">
        <v>2232310</v>
      </c>
      <c r="I777" s="14">
        <v>7109108.6399999997</v>
      </c>
      <c r="J777" t="s">
        <v>1061</v>
      </c>
      <c r="K777" s="10">
        <v>3.2871800000000002</v>
      </c>
      <c r="W777" s="10">
        <v>3.0036139285714292</v>
      </c>
      <c r="X777" s="10">
        <v>3.1447024528301899</v>
      </c>
      <c r="Y777" s="10">
        <v>3.2359570731707321</v>
      </c>
      <c r="Z777" s="11" t="str">
        <f t="shared" si="12"/>
        <v/>
      </c>
    </row>
    <row r="778" spans="1:26" x14ac:dyDescent="0.3">
      <c r="A778" t="s">
        <v>777</v>
      </c>
      <c r="B778" t="s">
        <v>3005</v>
      </c>
      <c r="C778" t="s">
        <v>2893</v>
      </c>
      <c r="D778" t="s">
        <v>1015</v>
      </c>
      <c r="E778" t="s">
        <v>1018</v>
      </c>
      <c r="F778" t="s">
        <v>2806</v>
      </c>
      <c r="G778" t="s">
        <v>2804</v>
      </c>
      <c r="H778" s="13">
        <v>48986753.127999999</v>
      </c>
      <c r="I778" s="14">
        <v>7096325.8700000001</v>
      </c>
      <c r="J778" t="s">
        <v>1052</v>
      </c>
      <c r="K778" s="10">
        <v>1.018E-2</v>
      </c>
      <c r="T778" s="10">
        <v>1.1861923076923081E-2</v>
      </c>
      <c r="U778" s="10">
        <v>1.0896153846153851E-2</v>
      </c>
      <c r="V778" s="10">
        <v>1.07173076923077E-2</v>
      </c>
      <c r="W778" s="10">
        <v>1.1250769230769231E-2</v>
      </c>
      <c r="X778" s="10">
        <v>1.110528301886792E-2</v>
      </c>
      <c r="Y778" s="10">
        <v>1.0497073170731709E-2</v>
      </c>
      <c r="Z778" s="11" t="str">
        <f t="shared" si="12"/>
        <v/>
      </c>
    </row>
    <row r="779" spans="1:26" x14ac:dyDescent="0.3">
      <c r="A779" t="s">
        <v>778</v>
      </c>
      <c r="B779" t="s">
        <v>3006</v>
      </c>
      <c r="C779" t="s">
        <v>3007</v>
      </c>
      <c r="D779" t="s">
        <v>1015</v>
      </c>
      <c r="E779" t="s">
        <v>1026</v>
      </c>
      <c r="F779" t="s">
        <v>1551</v>
      </c>
      <c r="G779" t="s">
        <v>3008</v>
      </c>
      <c r="H779" s="13">
        <v>87309.918999999994</v>
      </c>
      <c r="I779" s="14">
        <v>7061258.4500000002</v>
      </c>
      <c r="J779" t="s">
        <v>1052</v>
      </c>
      <c r="K779" s="10">
        <v>23.798380000000002</v>
      </c>
      <c r="W779" s="10">
        <v>25.456762432432431</v>
      </c>
      <c r="X779" s="10">
        <v>21.854867358490569</v>
      </c>
      <c r="Y779" s="10">
        <v>21.571262439024391</v>
      </c>
      <c r="Z779" s="11" t="str">
        <f t="shared" si="12"/>
        <v/>
      </c>
    </row>
    <row r="780" spans="1:26" x14ac:dyDescent="0.3">
      <c r="A780" t="s">
        <v>779</v>
      </c>
      <c r="B780" t="s">
        <v>3009</v>
      </c>
      <c r="C780" t="s">
        <v>2799</v>
      </c>
      <c r="D780" t="s">
        <v>1015</v>
      </c>
      <c r="E780" t="s">
        <v>1030</v>
      </c>
      <c r="F780" t="s">
        <v>2451</v>
      </c>
      <c r="G780" t="s">
        <v>2800</v>
      </c>
      <c r="H780" s="13">
        <v>18364125.530000001</v>
      </c>
      <c r="I780" s="14">
        <v>7054517.3899999997</v>
      </c>
      <c r="J780" t="s">
        <v>1052</v>
      </c>
      <c r="K780" s="10">
        <v>0.13611999999999999</v>
      </c>
      <c r="N780" s="10">
        <v>0.1618834615384615</v>
      </c>
      <c r="O780" s="10">
        <v>0.13740250000000001</v>
      </c>
      <c r="P780" s="10">
        <v>0.1201969230769231</v>
      </c>
      <c r="Q780" s="10">
        <v>9.9575192307692337E-2</v>
      </c>
      <c r="R780" s="10">
        <v>8.3726153846153839E-2</v>
      </c>
      <c r="S780" s="10">
        <v>0.1040956603773585</v>
      </c>
      <c r="T780" s="10">
        <v>9.6850576923076914E-2</v>
      </c>
      <c r="U780" s="10">
        <v>9.9319423076923111E-2</v>
      </c>
      <c r="V780" s="10">
        <v>0.1169026923076924</v>
      </c>
      <c r="W780" s="10">
        <v>0.13472461538461539</v>
      </c>
      <c r="X780" s="10">
        <v>0.12703924528301891</v>
      </c>
      <c r="Y780" s="10">
        <v>0.1326253658536585</v>
      </c>
      <c r="Z780" s="11">
        <f t="shared" si="12"/>
        <v>0.51731853999999999</v>
      </c>
    </row>
    <row r="781" spans="1:26" x14ac:dyDescent="0.3">
      <c r="A781" t="s">
        <v>780</v>
      </c>
      <c r="B781" t="s">
        <v>3010</v>
      </c>
      <c r="C781" t="s">
        <v>3011</v>
      </c>
      <c r="D781" t="s">
        <v>1014</v>
      </c>
      <c r="E781" t="s">
        <v>1019</v>
      </c>
      <c r="F781" t="s">
        <v>1990</v>
      </c>
      <c r="G781" t="s">
        <v>1991</v>
      </c>
      <c r="H781" s="13">
        <v>2241.8000000000002</v>
      </c>
      <c r="I781" s="14">
        <v>7048852.3899999997</v>
      </c>
      <c r="J781" t="s">
        <v>1061</v>
      </c>
      <c r="K781" s="10">
        <v>3202.3298500000001</v>
      </c>
      <c r="U781" s="10">
        <v>2845.5932634615378</v>
      </c>
      <c r="V781" s="10">
        <v>2930.648392307693</v>
      </c>
      <c r="W781" s="10">
        <v>3020.50689153846</v>
      </c>
      <c r="X781" s="10">
        <v>3102.798164339622</v>
      </c>
      <c r="Y781" s="10">
        <v>3195.0972975609761</v>
      </c>
      <c r="Z781" s="11" t="str">
        <f t="shared" si="12"/>
        <v/>
      </c>
    </row>
    <row r="782" spans="1:26" x14ac:dyDescent="0.3">
      <c r="A782" t="s">
        <v>781</v>
      </c>
      <c r="B782" t="s">
        <v>3012</v>
      </c>
      <c r="C782" t="s">
        <v>2616</v>
      </c>
      <c r="D782" t="s">
        <v>1015</v>
      </c>
      <c r="E782" t="s">
        <v>1027</v>
      </c>
      <c r="F782" t="s">
        <v>3013</v>
      </c>
      <c r="G782" t="s">
        <v>2617</v>
      </c>
      <c r="H782" s="13">
        <v>16959768</v>
      </c>
      <c r="I782" s="14">
        <v>7026304.9000000004</v>
      </c>
      <c r="J782" t="s">
        <v>1052</v>
      </c>
      <c r="K782" s="10">
        <v>0.29009000000000001</v>
      </c>
      <c r="V782" s="10">
        <v>0.33631133333333341</v>
      </c>
      <c r="W782" s="10">
        <v>0.31067038461538471</v>
      </c>
      <c r="X782" s="10">
        <v>0.33062735849056618</v>
      </c>
      <c r="Y782" s="10">
        <v>0.30488292682926821</v>
      </c>
      <c r="Z782" s="11" t="str">
        <f t="shared" si="12"/>
        <v/>
      </c>
    </row>
    <row r="783" spans="1:26" x14ac:dyDescent="0.3">
      <c r="A783" t="s">
        <v>782</v>
      </c>
      <c r="B783" t="s">
        <v>3014</v>
      </c>
      <c r="C783" t="s">
        <v>3015</v>
      </c>
      <c r="D783" t="s">
        <v>1015</v>
      </c>
      <c r="E783" t="s">
        <v>1018</v>
      </c>
      <c r="F783" t="s">
        <v>1551</v>
      </c>
      <c r="G783" t="s">
        <v>3016</v>
      </c>
      <c r="H783" s="13">
        <v>25955351.495999999</v>
      </c>
      <c r="I783" s="14">
        <v>7022491.75</v>
      </c>
      <c r="J783" t="s">
        <v>1052</v>
      </c>
      <c r="K783" s="10">
        <v>2.792E-2</v>
      </c>
      <c r="M783" s="10">
        <v>0.16130867924528311</v>
      </c>
      <c r="N783" s="10">
        <v>0.14438115384615391</v>
      </c>
      <c r="O783" s="10">
        <v>0.12777961538461541</v>
      </c>
      <c r="P783" s="10">
        <v>0.1070165384615385</v>
      </c>
      <c r="Q783" s="10">
        <v>7.8725000000000003E-2</v>
      </c>
      <c r="R783" s="10">
        <v>7.7114807692307691E-2</v>
      </c>
      <c r="S783" s="10">
        <v>7.311641509433961E-2</v>
      </c>
      <c r="T783" s="10">
        <v>5.6196346153846173E-2</v>
      </c>
      <c r="U783" s="10">
        <v>4.6994423076923059E-2</v>
      </c>
      <c r="V783" s="10">
        <v>4.0967884615384607E-2</v>
      </c>
      <c r="W783" s="10">
        <v>3.6103653846153862E-2</v>
      </c>
      <c r="X783" s="10">
        <v>3.3231509433962282E-2</v>
      </c>
      <c r="Y783" s="10">
        <v>2.8853658536585371E-2</v>
      </c>
      <c r="Z783" s="11">
        <f t="shared" si="12"/>
        <v>-0.56906447999999998</v>
      </c>
    </row>
    <row r="784" spans="1:26" x14ac:dyDescent="0.3">
      <c r="A784" t="s">
        <v>783</v>
      </c>
      <c r="B784" t="s">
        <v>3017</v>
      </c>
      <c r="C784" t="s">
        <v>3018</v>
      </c>
      <c r="D784" t="s">
        <v>1015</v>
      </c>
      <c r="E784" t="s">
        <v>1030</v>
      </c>
      <c r="F784" t="s">
        <v>2451</v>
      </c>
      <c r="G784" t="s">
        <v>2800</v>
      </c>
      <c r="H784" s="13">
        <v>28880452.059999999</v>
      </c>
      <c r="I784" s="14">
        <v>6995966.3099999996</v>
      </c>
      <c r="J784" t="s">
        <v>1052</v>
      </c>
      <c r="K784" s="10">
        <v>0.15226999999999999</v>
      </c>
      <c r="N784" s="10">
        <v>0.22911557692307699</v>
      </c>
      <c r="O784" s="10">
        <v>0.19123519230769229</v>
      </c>
      <c r="P784" s="10">
        <v>0.1629205769230769</v>
      </c>
      <c r="Q784" s="10">
        <v>0.143700576923077</v>
      </c>
      <c r="R784" s="10">
        <v>0.11704692307692301</v>
      </c>
      <c r="S784" s="10">
        <v>0.13540320754716981</v>
      </c>
      <c r="T784" s="10">
        <v>0.13064576923076929</v>
      </c>
      <c r="U784" s="10">
        <v>0.12825230769230769</v>
      </c>
      <c r="V784" s="10">
        <v>0.13183211538461531</v>
      </c>
      <c r="W784" s="10">
        <v>0.15349173076923081</v>
      </c>
      <c r="X784" s="10">
        <v>0.15893320754716969</v>
      </c>
      <c r="Y784" s="10">
        <v>0.15454780487804881</v>
      </c>
      <c r="Z784" s="11">
        <f t="shared" si="12"/>
        <v>0.35785890999999997</v>
      </c>
    </row>
    <row r="785" spans="1:26" x14ac:dyDescent="0.3">
      <c r="A785" t="s">
        <v>784</v>
      </c>
      <c r="B785" t="s">
        <v>3019</v>
      </c>
      <c r="C785" t="s">
        <v>2932</v>
      </c>
      <c r="D785" t="s">
        <v>1015</v>
      </c>
      <c r="E785" t="s">
        <v>1027</v>
      </c>
      <c r="F785" t="s">
        <v>2049</v>
      </c>
      <c r="G785" t="s">
        <v>2933</v>
      </c>
      <c r="H785" s="13">
        <v>14084</v>
      </c>
      <c r="I785" s="14">
        <v>6993275.3499999996</v>
      </c>
      <c r="J785" t="s">
        <v>1052</v>
      </c>
      <c r="K785" s="10">
        <v>228.24800999999999</v>
      </c>
      <c r="X785" s="10">
        <v>547.67211132075499</v>
      </c>
      <c r="Y785" s="10">
        <v>345.41724268292688</v>
      </c>
      <c r="Z785" s="11" t="str">
        <f t="shared" si="12"/>
        <v/>
      </c>
    </row>
    <row r="786" spans="1:26" x14ac:dyDescent="0.3">
      <c r="A786" t="s">
        <v>785</v>
      </c>
      <c r="B786" t="s">
        <v>3020</v>
      </c>
      <c r="C786" t="s">
        <v>3021</v>
      </c>
      <c r="D786" t="s">
        <v>1014</v>
      </c>
      <c r="E786" t="s">
        <v>1023</v>
      </c>
      <c r="F786" t="s">
        <v>1068</v>
      </c>
      <c r="G786" t="s">
        <v>3022</v>
      </c>
      <c r="H786" s="13">
        <v>145051</v>
      </c>
      <c r="I786" s="14">
        <v>6988397.3099999996</v>
      </c>
      <c r="J786" t="s">
        <v>1052</v>
      </c>
      <c r="K786" s="10">
        <v>48.040950000000002</v>
      </c>
      <c r="M786" s="10">
        <v>24.72961396226415</v>
      </c>
      <c r="N786" s="10">
        <v>26.602480576923082</v>
      </c>
      <c r="O786" s="10">
        <v>28.629197692307709</v>
      </c>
      <c r="P786" s="10">
        <v>30.91146807692305</v>
      </c>
      <c r="Q786" s="10">
        <v>33.506151153846147</v>
      </c>
      <c r="R786" s="10">
        <v>35.82491192307694</v>
      </c>
      <c r="S786" s="10">
        <v>37.456928301886819</v>
      </c>
      <c r="T786" s="10">
        <v>39.162191538461542</v>
      </c>
      <c r="U786" s="10">
        <v>41.229773269230733</v>
      </c>
      <c r="V786" s="10">
        <v>43.265056923076898</v>
      </c>
      <c r="W786" s="10">
        <v>47.059344038461518</v>
      </c>
      <c r="X786" s="10">
        <v>47.990816415094287</v>
      </c>
      <c r="Y786" s="10">
        <v>48.099240000000002</v>
      </c>
      <c r="Z786" s="11">
        <f t="shared" si="12"/>
        <v>0.33959341999999998</v>
      </c>
    </row>
    <row r="787" spans="1:26" x14ac:dyDescent="0.3">
      <c r="A787" t="s">
        <v>786</v>
      </c>
      <c r="B787" t="s">
        <v>3023</v>
      </c>
      <c r="C787" t="s">
        <v>2789</v>
      </c>
      <c r="D787" t="s">
        <v>1015</v>
      </c>
      <c r="E787" t="s">
        <v>1019</v>
      </c>
      <c r="F787" t="s">
        <v>2803</v>
      </c>
      <c r="G787" t="s">
        <v>1955</v>
      </c>
      <c r="H787" s="13">
        <v>67285291.878000006</v>
      </c>
      <c r="I787" s="14">
        <v>6988068.29</v>
      </c>
      <c r="J787" t="s">
        <v>1052</v>
      </c>
      <c r="K787" s="10">
        <v>2.8379999999999999E-2</v>
      </c>
      <c r="M787" s="10">
        <v>4.3751886792452829E-2</v>
      </c>
      <c r="N787" s="10">
        <v>4.0174807692307697E-2</v>
      </c>
      <c r="O787" s="10">
        <v>4.0835576923076933E-2</v>
      </c>
      <c r="P787" s="10">
        <v>3.6990576923076918E-2</v>
      </c>
      <c r="Q787" s="10">
        <v>3.2183653846153827E-2</v>
      </c>
      <c r="R787" s="10">
        <v>3.7888461538461538E-2</v>
      </c>
      <c r="S787" s="10">
        <v>3.4984339622641518E-2</v>
      </c>
      <c r="T787" s="10">
        <v>3.6641153846153851E-2</v>
      </c>
      <c r="U787" s="10">
        <v>3.8212500000000003E-2</v>
      </c>
      <c r="V787" s="10">
        <v>3.3099807692307671E-2</v>
      </c>
      <c r="W787" s="10">
        <v>2.998E-2</v>
      </c>
      <c r="X787" s="10">
        <v>2.905320754716981E-2</v>
      </c>
      <c r="Y787" s="10">
        <v>2.9276097560975631E-2</v>
      </c>
      <c r="Z787" s="11">
        <f t="shared" si="12"/>
        <v>-0.23319115000000001</v>
      </c>
    </row>
    <row r="788" spans="1:26" x14ac:dyDescent="0.3">
      <c r="A788" t="s">
        <v>787</v>
      </c>
      <c r="B788" t="s">
        <v>3024</v>
      </c>
      <c r="C788" t="s">
        <v>3025</v>
      </c>
      <c r="D788" t="s">
        <v>1015</v>
      </c>
      <c r="E788" t="s">
        <v>1020</v>
      </c>
      <c r="F788" t="s">
        <v>2608</v>
      </c>
      <c r="G788" t="s">
        <v>2838</v>
      </c>
      <c r="H788" s="13">
        <v>116038.005</v>
      </c>
      <c r="I788" s="14">
        <v>6961650.5300000003</v>
      </c>
      <c r="J788" t="s">
        <v>1052</v>
      </c>
      <c r="K788" s="10">
        <v>46.354100000000003</v>
      </c>
      <c r="W788" s="10">
        <v>58.082185961538492</v>
      </c>
      <c r="X788" s="10">
        <v>51.190180377358502</v>
      </c>
      <c r="Y788" s="10">
        <v>48.612485609756092</v>
      </c>
      <c r="Z788" s="11" t="str">
        <f t="shared" si="12"/>
        <v/>
      </c>
    </row>
    <row r="789" spans="1:26" x14ac:dyDescent="0.3">
      <c r="A789" t="s">
        <v>788</v>
      </c>
      <c r="B789" t="s">
        <v>3026</v>
      </c>
      <c r="C789" t="s">
        <v>3027</v>
      </c>
      <c r="D789" t="s">
        <v>1015</v>
      </c>
      <c r="E789" t="s">
        <v>1019</v>
      </c>
      <c r="F789" t="s">
        <v>1064</v>
      </c>
      <c r="G789" t="s">
        <v>3028</v>
      </c>
      <c r="H789" s="13">
        <v>753451</v>
      </c>
      <c r="I789" s="14">
        <v>6957931.9400000004</v>
      </c>
      <c r="J789" t="s">
        <v>1061</v>
      </c>
      <c r="K789" s="10">
        <v>8.9344999999999999</v>
      </c>
      <c r="S789" s="10">
        <v>17.891554594594599</v>
      </c>
      <c r="T789" s="10">
        <v>17.873775192307701</v>
      </c>
      <c r="U789" s="10">
        <v>17.871985769230768</v>
      </c>
      <c r="V789" s="10">
        <v>17.894847692307689</v>
      </c>
      <c r="W789" s="10">
        <v>9.1343034615384671</v>
      </c>
      <c r="X789" s="10">
        <v>8.962276603773585</v>
      </c>
      <c r="Y789" s="10">
        <v>8.9441339024390256</v>
      </c>
      <c r="Z789" s="11" t="str">
        <f t="shared" si="12"/>
        <v/>
      </c>
    </row>
    <row r="790" spans="1:26" x14ac:dyDescent="0.3">
      <c r="A790" t="s">
        <v>789</v>
      </c>
      <c r="B790" t="s">
        <v>3029</v>
      </c>
      <c r="C790" t="s">
        <v>3030</v>
      </c>
      <c r="D790" t="s">
        <v>1015</v>
      </c>
      <c r="E790" t="s">
        <v>1018</v>
      </c>
      <c r="F790" t="s">
        <v>1551</v>
      </c>
      <c r="G790" t="s">
        <v>3016</v>
      </c>
      <c r="H790" s="13">
        <v>23978181.5</v>
      </c>
      <c r="I790" s="14">
        <v>6951351.4199999999</v>
      </c>
      <c r="J790" t="s">
        <v>1052</v>
      </c>
      <c r="K790" s="10">
        <v>3.7429999999999998E-2</v>
      </c>
      <c r="M790" s="10">
        <v>0.16192226415094341</v>
      </c>
      <c r="N790" s="10">
        <v>0.15680038461538459</v>
      </c>
      <c r="O790" s="10">
        <v>0.13367730769230771</v>
      </c>
      <c r="P790" s="10">
        <v>0.1186275</v>
      </c>
      <c r="Q790" s="10">
        <v>0.1078607692307692</v>
      </c>
      <c r="R790" s="10">
        <v>9.9880192307692281E-2</v>
      </c>
      <c r="S790" s="10">
        <v>8.2370943396226401E-2</v>
      </c>
      <c r="T790" s="10">
        <v>6.6360961538461563E-2</v>
      </c>
      <c r="U790" s="10">
        <v>6.116000000000002E-2</v>
      </c>
      <c r="V790" s="10">
        <v>5.9781153846153859E-2</v>
      </c>
      <c r="W790" s="10">
        <v>5.4258461538461561E-2</v>
      </c>
      <c r="X790" s="10">
        <v>4.5151132075471723E-2</v>
      </c>
      <c r="Y790" s="10">
        <v>3.8727560975609768E-2</v>
      </c>
      <c r="Z790" s="11">
        <f t="shared" si="12"/>
        <v>-0.54794708999999997</v>
      </c>
    </row>
    <row r="791" spans="1:26" x14ac:dyDescent="0.3">
      <c r="A791" t="s">
        <v>790</v>
      </c>
      <c r="B791" t="s">
        <v>3031</v>
      </c>
      <c r="C791" t="s">
        <v>3032</v>
      </c>
      <c r="D791" t="s">
        <v>1015</v>
      </c>
      <c r="E791" t="s">
        <v>1027</v>
      </c>
      <c r="F791" t="s">
        <v>2183</v>
      </c>
      <c r="G791" t="s">
        <v>3033</v>
      </c>
      <c r="H791" s="13">
        <v>7598226.7300000004</v>
      </c>
      <c r="I791" s="14">
        <v>6910088.1399999997</v>
      </c>
      <c r="J791" t="s">
        <v>1052</v>
      </c>
      <c r="K791" s="10">
        <v>0.44218000000000002</v>
      </c>
      <c r="T791" s="10">
        <v>1.156636538461538</v>
      </c>
      <c r="U791" s="10">
        <v>0.97980038461538455</v>
      </c>
      <c r="V791" s="10">
        <v>0.79045269230769233</v>
      </c>
      <c r="W791" s="10">
        <v>0.59765384615384631</v>
      </c>
      <c r="X791" s="10">
        <v>0.55606773584905667</v>
      </c>
      <c r="Y791" s="10">
        <v>0.49231682926829268</v>
      </c>
      <c r="Z791" s="11" t="str">
        <f t="shared" si="12"/>
        <v/>
      </c>
    </row>
    <row r="792" spans="1:26" x14ac:dyDescent="0.3">
      <c r="A792" t="s">
        <v>791</v>
      </c>
      <c r="B792" t="s">
        <v>3034</v>
      </c>
      <c r="C792" t="s">
        <v>3035</v>
      </c>
      <c r="D792" t="s">
        <v>1014</v>
      </c>
      <c r="E792" t="s">
        <v>1020</v>
      </c>
      <c r="F792" t="s">
        <v>2549</v>
      </c>
      <c r="G792" t="s">
        <v>3036</v>
      </c>
      <c r="H792" s="13">
        <v>2993.08</v>
      </c>
      <c r="I792" s="14">
        <v>6909795.3300000001</v>
      </c>
      <c r="J792" t="s">
        <v>1052</v>
      </c>
      <c r="K792" s="10">
        <v>2315.28568</v>
      </c>
      <c r="X792" s="10">
        <v>2317.4481698113209</v>
      </c>
      <c r="Y792" s="10">
        <v>2315.9015853658552</v>
      </c>
      <c r="Z792" s="11" t="str">
        <f t="shared" si="12"/>
        <v/>
      </c>
    </row>
    <row r="793" spans="1:26" x14ac:dyDescent="0.3">
      <c r="A793" t="s">
        <v>792</v>
      </c>
      <c r="B793" t="s">
        <v>3037</v>
      </c>
      <c r="C793" t="s">
        <v>3038</v>
      </c>
      <c r="D793" t="s">
        <v>1015</v>
      </c>
      <c r="E793" t="s">
        <v>1018</v>
      </c>
      <c r="F793" t="s">
        <v>2062</v>
      </c>
      <c r="G793" t="s">
        <v>2063</v>
      </c>
      <c r="H793" s="13">
        <v>35974629.931999996</v>
      </c>
      <c r="I793" s="14">
        <v>6900377.3200000003</v>
      </c>
      <c r="J793" t="s">
        <v>1052</v>
      </c>
      <c r="K793" s="10">
        <v>2.571E-2</v>
      </c>
      <c r="R793" s="10">
        <v>2.7348076923076919E-2</v>
      </c>
      <c r="S793" s="10">
        <v>2.7359622641509429E-2</v>
      </c>
      <c r="T793" s="10">
        <v>2.6717307692307679E-2</v>
      </c>
      <c r="U793" s="10">
        <v>2.6745961538461541E-2</v>
      </c>
      <c r="V793" s="10">
        <v>2.6585576923076931E-2</v>
      </c>
      <c r="W793" s="10">
        <v>2.429000000000001E-2</v>
      </c>
      <c r="X793" s="10">
        <v>2.5533962264150951E-2</v>
      </c>
      <c r="Y793" s="10">
        <v>2.6016341463414631E-2</v>
      </c>
      <c r="Z793" s="11">
        <f t="shared" si="12"/>
        <v>-6.6334270000000001E-2</v>
      </c>
    </row>
    <row r="794" spans="1:26" x14ac:dyDescent="0.3">
      <c r="A794" t="s">
        <v>793</v>
      </c>
      <c r="B794" t="s">
        <v>3039</v>
      </c>
      <c r="C794" t="s">
        <v>3040</v>
      </c>
      <c r="D794" t="s">
        <v>1014</v>
      </c>
      <c r="E794" t="s">
        <v>1027</v>
      </c>
      <c r="F794" t="s">
        <v>2211</v>
      </c>
      <c r="G794" t="s">
        <v>2212</v>
      </c>
      <c r="H794" s="13">
        <v>232659</v>
      </c>
      <c r="I794" s="14">
        <v>6859923.0700000003</v>
      </c>
      <c r="J794" t="s">
        <v>1052</v>
      </c>
      <c r="K794" s="10">
        <v>30.530190000000001</v>
      </c>
      <c r="O794" s="10">
        <v>14.87968666666667</v>
      </c>
      <c r="P794" s="10">
        <v>15.961400576923079</v>
      </c>
      <c r="Q794" s="10">
        <v>17.386675</v>
      </c>
      <c r="R794" s="10">
        <v>18.915469183673469</v>
      </c>
      <c r="S794" s="10">
        <v>20.806623962264151</v>
      </c>
      <c r="T794" s="10">
        <v>24.425104038461541</v>
      </c>
      <c r="U794" s="10">
        <v>26.62446846153847</v>
      </c>
      <c r="V794" s="10">
        <v>27.802745000000009</v>
      </c>
      <c r="W794" s="10">
        <v>28.415093653846171</v>
      </c>
      <c r="X794" s="10">
        <v>29.169850188679231</v>
      </c>
      <c r="Y794" s="10">
        <v>30.302992926829269</v>
      </c>
      <c r="Z794" s="11">
        <f t="shared" si="12"/>
        <v>0.54211613000000003</v>
      </c>
    </row>
    <row r="795" spans="1:26" x14ac:dyDescent="0.3">
      <c r="A795" t="s">
        <v>794</v>
      </c>
      <c r="B795" t="s">
        <v>3041</v>
      </c>
      <c r="C795" t="s">
        <v>1937</v>
      </c>
      <c r="D795" t="s">
        <v>1015</v>
      </c>
      <c r="E795" t="s">
        <v>1030</v>
      </c>
      <c r="F795" t="s">
        <v>1941</v>
      </c>
      <c r="G795" t="s">
        <v>1938</v>
      </c>
      <c r="H795" s="13">
        <v>48699821</v>
      </c>
      <c r="I795" s="14">
        <v>6845060.8600000003</v>
      </c>
      <c r="J795" t="s">
        <v>1163</v>
      </c>
      <c r="K795" s="10">
        <v>8.1339999999999996E-2</v>
      </c>
      <c r="T795" s="10">
        <v>9.9286346153846183E-2</v>
      </c>
      <c r="U795" s="10">
        <v>9.3485000000000068E-2</v>
      </c>
      <c r="V795" s="10">
        <v>9.1976346153846159E-2</v>
      </c>
      <c r="W795" s="10">
        <v>9.0623076923076917E-2</v>
      </c>
      <c r="X795" s="10">
        <v>9.1000377358490578E-2</v>
      </c>
      <c r="Y795" s="10">
        <v>8.7706829268292708E-2</v>
      </c>
      <c r="Z795" s="11" t="str">
        <f t="shared" si="12"/>
        <v/>
      </c>
    </row>
    <row r="796" spans="1:26" x14ac:dyDescent="0.3">
      <c r="A796" t="s">
        <v>795</v>
      </c>
      <c r="B796" t="s">
        <v>3042</v>
      </c>
      <c r="C796" t="s">
        <v>2599</v>
      </c>
      <c r="D796" t="s">
        <v>1015</v>
      </c>
      <c r="E796" t="s">
        <v>1032</v>
      </c>
      <c r="F796" t="s">
        <v>1837</v>
      </c>
      <c r="G796" t="s">
        <v>2408</v>
      </c>
      <c r="H796" s="13">
        <v>1866166</v>
      </c>
      <c r="I796" s="14">
        <v>6842753.9299999997</v>
      </c>
      <c r="J796" t="s">
        <v>1061</v>
      </c>
      <c r="K796" s="10">
        <v>3.4273699999999998</v>
      </c>
      <c r="Q796" s="10">
        <v>5.5994436363636373</v>
      </c>
      <c r="R796" s="10">
        <v>4.565781538461537</v>
      </c>
      <c r="S796" s="10">
        <v>4.4175281132075446</v>
      </c>
      <c r="T796" s="10">
        <v>4.0284998076923078</v>
      </c>
      <c r="U796" s="10">
        <v>3.666945384615385</v>
      </c>
      <c r="V796" s="10">
        <v>3.4657086538461539</v>
      </c>
      <c r="W796" s="10">
        <v>3.4513707692307709</v>
      </c>
      <c r="X796" s="10">
        <v>4.000091509433962</v>
      </c>
      <c r="Y796" s="10">
        <v>3.738408536585367</v>
      </c>
      <c r="Z796" s="11">
        <f t="shared" si="12"/>
        <v>-0.12389774000000001</v>
      </c>
    </row>
    <row r="797" spans="1:26" x14ac:dyDescent="0.3">
      <c r="A797" t="s">
        <v>796</v>
      </c>
      <c r="B797" t="s">
        <v>3043</v>
      </c>
      <c r="C797" t="s">
        <v>3044</v>
      </c>
      <c r="D797" t="s">
        <v>1015</v>
      </c>
      <c r="E797" t="s">
        <v>1027</v>
      </c>
      <c r="F797" t="s">
        <v>2183</v>
      </c>
      <c r="G797" t="s">
        <v>3045</v>
      </c>
      <c r="H797" s="13">
        <v>148480197.10800001</v>
      </c>
      <c r="I797" s="14">
        <v>6808725.5099999998</v>
      </c>
      <c r="J797" t="s">
        <v>1061</v>
      </c>
      <c r="K797" s="10">
        <v>3.015E-2</v>
      </c>
      <c r="M797" s="10">
        <v>5.4776226415094317E-2</v>
      </c>
      <c r="N797" s="10">
        <v>4.7453653846153861E-2</v>
      </c>
      <c r="O797" s="10">
        <v>4.6432307692307703E-2</v>
      </c>
      <c r="P797" s="10">
        <v>4.0085192307692308E-2</v>
      </c>
      <c r="Q797" s="10">
        <v>3.7283461538461543E-2</v>
      </c>
      <c r="R797" s="10">
        <v>3.4894615384615371E-2</v>
      </c>
      <c r="S797" s="10">
        <v>3.4772830188679257E-2</v>
      </c>
      <c r="T797" s="10">
        <v>3.4347115384615393E-2</v>
      </c>
      <c r="U797" s="10">
        <v>3.3715576923076918E-2</v>
      </c>
      <c r="V797" s="10">
        <v>3.2467692307692309E-2</v>
      </c>
      <c r="W797" s="10">
        <v>3.0050384615384621E-2</v>
      </c>
      <c r="X797" s="10">
        <v>3.0359811320754729E-2</v>
      </c>
      <c r="Y797" s="10">
        <v>3.0444146341463401E-2</v>
      </c>
      <c r="Z797" s="11">
        <f t="shared" si="12"/>
        <v>-0.12995713</v>
      </c>
    </row>
    <row r="798" spans="1:26" x14ac:dyDescent="0.3">
      <c r="A798" t="s">
        <v>797</v>
      </c>
      <c r="B798" t="s">
        <v>3046</v>
      </c>
      <c r="C798" t="s">
        <v>3047</v>
      </c>
      <c r="D798" t="s">
        <v>1015</v>
      </c>
      <c r="E798" t="s">
        <v>1018</v>
      </c>
      <c r="F798" t="s">
        <v>1551</v>
      </c>
      <c r="G798" t="s">
        <v>3048</v>
      </c>
      <c r="H798" s="13">
        <v>9721808</v>
      </c>
      <c r="I798" s="14">
        <v>6803309.5099999998</v>
      </c>
      <c r="J798" t="s">
        <v>1052</v>
      </c>
      <c r="K798" s="10">
        <v>0.44080999999999998</v>
      </c>
      <c r="U798" s="10">
        <v>1.9176756097560981</v>
      </c>
      <c r="V798" s="10">
        <v>1.496640384615384</v>
      </c>
      <c r="W798" s="10">
        <v>0.92272615384615375</v>
      </c>
      <c r="X798" s="10">
        <v>0.59162981132075476</v>
      </c>
      <c r="Y798" s="10">
        <v>0.4540119512195121</v>
      </c>
      <c r="Z798" s="11" t="str">
        <f t="shared" si="12"/>
        <v/>
      </c>
    </row>
    <row r="799" spans="1:26" x14ac:dyDescent="0.3">
      <c r="A799" t="s">
        <v>798</v>
      </c>
      <c r="B799" t="s">
        <v>3049</v>
      </c>
      <c r="C799" t="s">
        <v>2356</v>
      </c>
      <c r="D799" t="s">
        <v>1015</v>
      </c>
      <c r="E799" t="s">
        <v>1030</v>
      </c>
      <c r="F799" t="s">
        <v>1382</v>
      </c>
      <c r="G799" t="s">
        <v>2357</v>
      </c>
      <c r="H799" s="13">
        <v>7610465.5</v>
      </c>
      <c r="I799" s="14">
        <v>6801204.25</v>
      </c>
      <c r="J799" t="s">
        <v>1052</v>
      </c>
      <c r="K799" s="10">
        <v>0.57140999999999997</v>
      </c>
      <c r="N799" s="10">
        <v>1.970809705882353</v>
      </c>
      <c r="O799" s="10">
        <v>1.7729163461538471</v>
      </c>
      <c r="P799" s="10">
        <v>1.464240192307692</v>
      </c>
      <c r="Q799" s="10">
        <v>1.274280961538462</v>
      </c>
      <c r="R799" s="10">
        <v>1.0584480769230771</v>
      </c>
      <c r="S799" s="10">
        <v>0.91346584905660366</v>
      </c>
      <c r="T799" s="10">
        <v>0.80813096153846165</v>
      </c>
      <c r="U799" s="10">
        <v>0.7926253846153849</v>
      </c>
      <c r="V799" s="10">
        <v>0.84020000000000017</v>
      </c>
      <c r="W799" s="10">
        <v>0.80058788461538455</v>
      </c>
      <c r="X799" s="10">
        <v>0.72812773584905632</v>
      </c>
      <c r="Y799" s="10">
        <v>0.58772000000000013</v>
      </c>
      <c r="Z799" s="11">
        <f t="shared" si="12"/>
        <v>-0.31207986999999998</v>
      </c>
    </row>
    <row r="800" spans="1:26" x14ac:dyDescent="0.3">
      <c r="A800" t="s">
        <v>799</v>
      </c>
      <c r="B800" t="s">
        <v>3050</v>
      </c>
      <c r="C800" t="s">
        <v>2563</v>
      </c>
      <c r="D800" t="s">
        <v>1015</v>
      </c>
      <c r="E800" t="s">
        <v>1026</v>
      </c>
      <c r="F800" t="s">
        <v>2043</v>
      </c>
      <c r="G800" t="s">
        <v>2239</v>
      </c>
      <c r="H800" s="13">
        <v>9146732.9949999992</v>
      </c>
      <c r="I800" s="14">
        <v>6795312.3200000003</v>
      </c>
      <c r="J800" t="s">
        <v>1052</v>
      </c>
      <c r="K800" s="10">
        <v>7.8799999999999995E-2</v>
      </c>
      <c r="M800" s="10">
        <v>7.4017358490566024E-2</v>
      </c>
      <c r="N800" s="10">
        <v>6.6840576923076905E-2</v>
      </c>
      <c r="O800" s="10">
        <v>7.2148461538461536E-2</v>
      </c>
      <c r="P800" s="10">
        <v>6.7656153846153852E-2</v>
      </c>
      <c r="Q800" s="10">
        <v>6.2157499999999991E-2</v>
      </c>
      <c r="R800" s="10">
        <v>6.1826923076923057E-2</v>
      </c>
      <c r="S800" s="10">
        <v>6.4384150943396237E-2</v>
      </c>
      <c r="T800" s="10">
        <v>6.9934615384615401E-2</v>
      </c>
      <c r="U800" s="10">
        <v>7.2321730769230777E-2</v>
      </c>
      <c r="V800" s="10">
        <v>8.5259615384615364E-2</v>
      </c>
      <c r="W800" s="10">
        <v>9.4902692307692327E-2</v>
      </c>
      <c r="X800" s="10">
        <v>8.9857358490566086E-2</v>
      </c>
      <c r="Y800" s="10">
        <v>8.2103414634146388E-2</v>
      </c>
      <c r="Z800" s="11">
        <f t="shared" si="12"/>
        <v>0.45336940999999997</v>
      </c>
    </row>
    <row r="801" spans="1:26" x14ac:dyDescent="0.3">
      <c r="A801" t="s">
        <v>800</v>
      </c>
      <c r="B801" t="s">
        <v>3051</v>
      </c>
      <c r="C801" t="s">
        <v>3052</v>
      </c>
      <c r="D801" t="s">
        <v>1014</v>
      </c>
      <c r="E801" t="s">
        <v>1028</v>
      </c>
      <c r="F801" t="s">
        <v>1298</v>
      </c>
      <c r="G801" t="s">
        <v>3053</v>
      </c>
      <c r="H801" s="13">
        <v>885501.95799999998</v>
      </c>
      <c r="I801" s="14">
        <v>6788687.5199999996</v>
      </c>
      <c r="J801" t="s">
        <v>1061</v>
      </c>
      <c r="K801" s="10">
        <v>8.3144200000000001</v>
      </c>
      <c r="M801" s="10">
        <v>6.4984586792452834</v>
      </c>
      <c r="N801" s="10">
        <v>6.5838198076923033</v>
      </c>
      <c r="O801" s="10">
        <v>7.4742505769230734</v>
      </c>
      <c r="P801" s="10">
        <v>7.9770953846153869</v>
      </c>
      <c r="Q801" s="10">
        <v>8.388888076923072</v>
      </c>
      <c r="V801" s="10">
        <v>8.3615299999999966</v>
      </c>
      <c r="W801" s="10">
        <v>8.3381486538461598</v>
      </c>
      <c r="X801" s="10">
        <v>8.3285416981132059</v>
      </c>
      <c r="Y801" s="10">
        <v>8.3327582926829251</v>
      </c>
      <c r="Z801" s="11" t="str">
        <f t="shared" si="12"/>
        <v/>
      </c>
    </row>
    <row r="802" spans="1:26" x14ac:dyDescent="0.3">
      <c r="A802" t="s">
        <v>801</v>
      </c>
      <c r="B802" t="s">
        <v>3054</v>
      </c>
      <c r="C802" t="s">
        <v>3055</v>
      </c>
      <c r="D802" t="s">
        <v>1014</v>
      </c>
      <c r="E802" t="s">
        <v>1022</v>
      </c>
      <c r="F802" t="s">
        <v>1270</v>
      </c>
      <c r="G802" t="s">
        <v>3056</v>
      </c>
      <c r="H802" s="13">
        <v>768804</v>
      </c>
      <c r="I802" s="14">
        <v>6782520.6799999997</v>
      </c>
      <c r="J802" t="s">
        <v>1052</v>
      </c>
      <c r="K802" s="10">
        <v>8.9465199999999996</v>
      </c>
      <c r="M802" s="10">
        <v>6.5527416981132083</v>
      </c>
      <c r="N802" s="10">
        <v>7.0663382692307737</v>
      </c>
      <c r="O802" s="10">
        <v>7.6447476923076936</v>
      </c>
      <c r="P802" s="10">
        <v>8.6613526923076893</v>
      </c>
      <c r="Q802" s="10">
        <v>8.9970375000000047</v>
      </c>
      <c r="R802" s="10">
        <v>8.9869636538461499</v>
      </c>
      <c r="S802" s="10">
        <v>8.9686626415094342</v>
      </c>
      <c r="T802" s="10">
        <v>8.9699373076923106</v>
      </c>
      <c r="U802" s="10">
        <v>9.0745369230769217</v>
      </c>
      <c r="V802" s="10">
        <v>8.9874561538461482</v>
      </c>
      <c r="W802" s="10">
        <v>8.9801907692307683</v>
      </c>
      <c r="X802" s="10">
        <v>8.9774684905660411</v>
      </c>
      <c r="Y802" s="10">
        <v>8.9509582926829339</v>
      </c>
      <c r="Z802" s="11">
        <f t="shared" si="12"/>
        <v>-1.0565500000000001E-3</v>
      </c>
    </row>
    <row r="803" spans="1:26" x14ac:dyDescent="0.3">
      <c r="A803" t="s">
        <v>802</v>
      </c>
      <c r="B803" t="s">
        <v>3057</v>
      </c>
      <c r="C803" t="s">
        <v>3058</v>
      </c>
      <c r="D803" t="s">
        <v>1014</v>
      </c>
      <c r="E803" t="s">
        <v>1027</v>
      </c>
      <c r="F803" t="s">
        <v>1241</v>
      </c>
      <c r="G803" t="s">
        <v>2377</v>
      </c>
      <c r="H803" s="13">
        <v>528496.5</v>
      </c>
      <c r="I803" s="14">
        <v>6782357.8600000003</v>
      </c>
      <c r="J803" t="s">
        <v>1052</v>
      </c>
      <c r="K803" s="10">
        <v>13.461360000000001</v>
      </c>
      <c r="M803" s="10">
        <v>8.2223447169811248</v>
      </c>
      <c r="N803" s="10">
        <v>8.8843553846153895</v>
      </c>
      <c r="O803" s="10">
        <v>9.3368346153846176</v>
      </c>
      <c r="P803" s="10">
        <v>9.9018798076923034</v>
      </c>
      <c r="Q803" s="10">
        <v>10.150905961538459</v>
      </c>
      <c r="R803" s="10">
        <v>10.15212211538462</v>
      </c>
      <c r="S803" s="10">
        <v>10.52567113207547</v>
      </c>
      <c r="T803" s="10">
        <v>10.83873673076924</v>
      </c>
      <c r="U803" s="10">
        <v>11.519427884615389</v>
      </c>
      <c r="V803" s="10">
        <v>12.27740480769231</v>
      </c>
      <c r="W803" s="10">
        <v>12.80322903846154</v>
      </c>
      <c r="X803" s="10">
        <v>13.129070943396229</v>
      </c>
      <c r="Y803" s="10">
        <v>13.45939512195122</v>
      </c>
      <c r="Z803" s="11">
        <f t="shared" si="12"/>
        <v>0.29323413999999998</v>
      </c>
    </row>
    <row r="804" spans="1:26" x14ac:dyDescent="0.3">
      <c r="A804" t="s">
        <v>803</v>
      </c>
      <c r="B804" t="s">
        <v>3059</v>
      </c>
      <c r="C804" t="s">
        <v>3060</v>
      </c>
      <c r="D804" t="s">
        <v>1014</v>
      </c>
      <c r="E804" t="s">
        <v>1027</v>
      </c>
      <c r="F804" t="s">
        <v>1399</v>
      </c>
      <c r="G804" t="s">
        <v>1895</v>
      </c>
      <c r="H804" s="13">
        <v>549129</v>
      </c>
      <c r="I804" s="14">
        <v>6769815.5</v>
      </c>
      <c r="J804" t="s">
        <v>1052</v>
      </c>
      <c r="K804" s="10">
        <v>12.752050000000001</v>
      </c>
      <c r="M804" s="10">
        <v>4.6411583018867937</v>
      </c>
      <c r="N804" s="10">
        <v>5.6636813461538473</v>
      </c>
      <c r="O804" s="10">
        <v>6.5681909615384582</v>
      </c>
      <c r="P804" s="10">
        <v>7.4454028846153886</v>
      </c>
      <c r="Q804" s="10">
        <v>8.1894325000000059</v>
      </c>
      <c r="R804" s="10">
        <v>8.8214801923076855</v>
      </c>
      <c r="S804" s="10">
        <v>9.5383277358490517</v>
      </c>
      <c r="T804" s="10">
        <v>10.06614788461539</v>
      </c>
      <c r="U804" s="10">
        <v>10.74414000000001</v>
      </c>
      <c r="V804" s="10">
        <v>11.36310269230769</v>
      </c>
      <c r="W804" s="10">
        <v>12.033799423076919</v>
      </c>
      <c r="X804" s="10">
        <v>12.533872075471701</v>
      </c>
      <c r="Y804" s="10">
        <v>12.747345609756101</v>
      </c>
      <c r="Z804" s="11">
        <f t="shared" si="12"/>
        <v>0.42083547999999998</v>
      </c>
    </row>
    <row r="805" spans="1:26" x14ac:dyDescent="0.3">
      <c r="A805" t="s">
        <v>804</v>
      </c>
      <c r="B805" t="s">
        <v>3061</v>
      </c>
      <c r="C805" t="s">
        <v>3062</v>
      </c>
      <c r="D805" t="s">
        <v>1015</v>
      </c>
      <c r="E805" t="s">
        <v>1027</v>
      </c>
      <c r="F805" t="s">
        <v>3063</v>
      </c>
      <c r="G805" t="s">
        <v>3064</v>
      </c>
      <c r="H805" s="13">
        <v>1252858</v>
      </c>
      <c r="I805" s="14">
        <v>6761587.3099999996</v>
      </c>
      <c r="J805" t="s">
        <v>1052</v>
      </c>
      <c r="K805" s="10">
        <v>1.2506999999999999</v>
      </c>
      <c r="U805" s="10">
        <v>4.6778972972972959</v>
      </c>
      <c r="V805" s="10">
        <v>4.7843555769230743</v>
      </c>
      <c r="W805" s="10">
        <v>4.9783575000000022</v>
      </c>
      <c r="X805" s="10">
        <v>5.1620579245283018</v>
      </c>
      <c r="Y805" s="10">
        <v>3.3274273170731701</v>
      </c>
      <c r="Z805" s="11" t="str">
        <f t="shared" si="12"/>
        <v/>
      </c>
    </row>
    <row r="806" spans="1:26" x14ac:dyDescent="0.3">
      <c r="A806" t="s">
        <v>805</v>
      </c>
      <c r="B806" t="s">
        <v>3065</v>
      </c>
      <c r="C806" t="s">
        <v>3066</v>
      </c>
      <c r="D806" t="s">
        <v>1015</v>
      </c>
      <c r="E806" t="s">
        <v>1027</v>
      </c>
      <c r="F806" t="s">
        <v>1608</v>
      </c>
      <c r="G806" t="s">
        <v>3067</v>
      </c>
      <c r="H806" s="13">
        <v>174068.06</v>
      </c>
      <c r="I806" s="14">
        <v>6747710.0300000003</v>
      </c>
      <c r="J806" t="s">
        <v>1061</v>
      </c>
      <c r="K806" s="10">
        <v>0.23341000000000001</v>
      </c>
      <c r="N806" s="10">
        <v>0.30860000000000021</v>
      </c>
      <c r="O806" s="10">
        <v>0.31110769230769242</v>
      </c>
      <c r="P806" s="10">
        <v>0.28476230769230748</v>
      </c>
      <c r="X806" s="10">
        <v>0.21395811320754729</v>
      </c>
      <c r="Y806" s="10">
        <v>0.23520999999999981</v>
      </c>
      <c r="Z806" s="11" t="str">
        <f t="shared" si="12"/>
        <v/>
      </c>
    </row>
    <row r="807" spans="1:26" x14ac:dyDescent="0.3">
      <c r="A807" t="s">
        <v>806</v>
      </c>
      <c r="B807" t="s">
        <v>3068</v>
      </c>
      <c r="C807" t="s">
        <v>1357</v>
      </c>
      <c r="D807" t="s">
        <v>1014</v>
      </c>
      <c r="E807" t="s">
        <v>1018</v>
      </c>
      <c r="F807" t="s">
        <v>1096</v>
      </c>
      <c r="G807" t="s">
        <v>1253</v>
      </c>
      <c r="H807" s="13">
        <v>611900.63</v>
      </c>
      <c r="I807" s="14">
        <v>6728089.1399999997</v>
      </c>
      <c r="J807" t="s">
        <v>1052</v>
      </c>
      <c r="K807" s="10">
        <v>11.560589999999999</v>
      </c>
      <c r="O807" s="10">
        <v>6.2640338461538452</v>
      </c>
      <c r="P807" s="10">
        <v>6.6988288461538454</v>
      </c>
      <c r="Q807" s="10">
        <v>7.399907307692307</v>
      </c>
      <c r="R807" s="10">
        <v>8.1096082692307654</v>
      </c>
      <c r="S807" s="10">
        <v>8.6903524528301865</v>
      </c>
      <c r="T807" s="10">
        <v>9.3066807692307627</v>
      </c>
      <c r="U807" s="10">
        <v>10.04841711538462</v>
      </c>
      <c r="V807" s="10">
        <v>10.672942692307689</v>
      </c>
      <c r="W807" s="10">
        <v>10.98967461538461</v>
      </c>
      <c r="X807" s="10">
        <v>11.25410943396227</v>
      </c>
      <c r="Y807" s="10">
        <v>11.569823414634151</v>
      </c>
      <c r="Z807" s="11">
        <f t="shared" si="12"/>
        <v>0.38775007</v>
      </c>
    </row>
    <row r="808" spans="1:26" x14ac:dyDescent="0.3">
      <c r="A808" t="s">
        <v>807</v>
      </c>
      <c r="B808" t="s">
        <v>3069</v>
      </c>
      <c r="C808" t="s">
        <v>3070</v>
      </c>
      <c r="D808" t="s">
        <v>1014</v>
      </c>
      <c r="E808" t="s">
        <v>1019</v>
      </c>
      <c r="F808" t="s">
        <v>1123</v>
      </c>
      <c r="G808" t="s">
        <v>1588</v>
      </c>
      <c r="H808" s="13">
        <v>1453243.63</v>
      </c>
      <c r="I808" s="14">
        <v>6717619.1600000001</v>
      </c>
      <c r="J808" t="s">
        <v>1061</v>
      </c>
      <c r="K808" s="10">
        <v>4.2674200000000004</v>
      </c>
      <c r="M808" s="10">
        <v>9.495848867924531</v>
      </c>
      <c r="N808" s="10">
        <v>11.44027461538462</v>
      </c>
      <c r="O808" s="10">
        <v>12.98849653846154</v>
      </c>
      <c r="P808" s="10">
        <v>14.16727307692307</v>
      </c>
      <c r="Q808" s="10">
        <v>14.59254692307692</v>
      </c>
      <c r="R808" s="10">
        <v>14.57540673076924</v>
      </c>
      <c r="S808" s="10">
        <v>14.451570566037731</v>
      </c>
      <c r="T808" s="10">
        <v>14.32335211538461</v>
      </c>
      <c r="U808" s="10">
        <v>14.29827461538461</v>
      </c>
      <c r="V808" s="10">
        <v>14.26915269230768</v>
      </c>
      <c r="W808" s="10">
        <v>4.4746378846153849</v>
      </c>
      <c r="X808" s="10">
        <v>4.2770222641509443</v>
      </c>
      <c r="Y808" s="10">
        <v>4.2675387804878042</v>
      </c>
      <c r="Z808" s="11">
        <f t="shared" si="12"/>
        <v>-0.70655897999999995</v>
      </c>
    </row>
    <row r="809" spans="1:26" x14ac:dyDescent="0.3">
      <c r="A809" t="s">
        <v>808</v>
      </c>
      <c r="B809" t="s">
        <v>3071</v>
      </c>
      <c r="C809" t="s">
        <v>2605</v>
      </c>
      <c r="D809" t="s">
        <v>1015</v>
      </c>
      <c r="E809" t="s">
        <v>1032</v>
      </c>
      <c r="F809" t="s">
        <v>1363</v>
      </c>
      <c r="G809" t="s">
        <v>3072</v>
      </c>
      <c r="H809" s="13">
        <v>4609572</v>
      </c>
      <c r="I809" s="14">
        <v>6711659.3300000001</v>
      </c>
      <c r="J809" t="s">
        <v>1052</v>
      </c>
      <c r="K809" s="10">
        <v>1.2451399999999999</v>
      </c>
      <c r="R809" s="10">
        <v>2.817818378378377</v>
      </c>
      <c r="S809" s="10">
        <v>2.5401611320754709</v>
      </c>
      <c r="T809" s="10">
        <v>2.4446519230769228</v>
      </c>
      <c r="U809" s="10">
        <v>1.8387369230769219</v>
      </c>
      <c r="V809" s="10">
        <v>1.566356730769231</v>
      </c>
      <c r="W809" s="10">
        <v>1.3813263461538461</v>
      </c>
      <c r="X809" s="10">
        <v>1.381329622641509</v>
      </c>
      <c r="Y809" s="10">
        <v>1.3141860975609749</v>
      </c>
      <c r="Z809" s="11">
        <f t="shared" si="12"/>
        <v>-0.50978756000000003</v>
      </c>
    </row>
    <row r="810" spans="1:26" x14ac:dyDescent="0.3">
      <c r="A810" t="s">
        <v>809</v>
      </c>
      <c r="B810" t="s">
        <v>3073</v>
      </c>
      <c r="C810" t="s">
        <v>3074</v>
      </c>
      <c r="D810" t="s">
        <v>1015</v>
      </c>
      <c r="E810" t="s">
        <v>1027</v>
      </c>
      <c r="F810" t="s">
        <v>1610</v>
      </c>
      <c r="G810" t="s">
        <v>3075</v>
      </c>
      <c r="H810" s="13">
        <v>33492</v>
      </c>
      <c r="I810" s="14">
        <v>6708896.2300000004</v>
      </c>
      <c r="J810" t="s">
        <v>1052</v>
      </c>
      <c r="K810" s="10">
        <v>208.71283</v>
      </c>
      <c r="W810" s="10">
        <v>248.8068112</v>
      </c>
      <c r="X810" s="10">
        <v>254.82847679245279</v>
      </c>
      <c r="Y810" s="10">
        <v>197.57866439024389</v>
      </c>
      <c r="Z810" s="11" t="str">
        <f t="shared" si="12"/>
        <v/>
      </c>
    </row>
    <row r="811" spans="1:26" x14ac:dyDescent="0.3">
      <c r="A811" t="s">
        <v>810</v>
      </c>
      <c r="B811" t="s">
        <v>3076</v>
      </c>
      <c r="C811" t="s">
        <v>2730</v>
      </c>
      <c r="D811" t="s">
        <v>1015</v>
      </c>
      <c r="E811" t="s">
        <v>1027</v>
      </c>
      <c r="F811" t="s">
        <v>1382</v>
      </c>
      <c r="G811" t="s">
        <v>2732</v>
      </c>
      <c r="H811" s="13">
        <v>55411097</v>
      </c>
      <c r="I811" s="14">
        <v>6700578.7999999998</v>
      </c>
      <c r="J811" t="s">
        <v>1052</v>
      </c>
      <c r="K811" s="10">
        <v>3.1419999999999997E-2</v>
      </c>
      <c r="M811" s="10">
        <v>5.0164666666666663E-2</v>
      </c>
      <c r="N811" s="10">
        <v>4.7307115384615357E-2</v>
      </c>
      <c r="O811" s="10">
        <v>4.3860576923076933E-2</v>
      </c>
      <c r="P811" s="10">
        <v>4.1575769230769222E-2</v>
      </c>
      <c r="Q811" s="10">
        <v>4.825307692307694E-2</v>
      </c>
      <c r="R811" s="10">
        <v>5.4134615384615357E-2</v>
      </c>
      <c r="S811" s="10">
        <v>5.4537169811320778E-2</v>
      </c>
      <c r="T811" s="10">
        <v>5.0152115384615392E-2</v>
      </c>
      <c r="U811" s="10">
        <v>4.6376730769230767E-2</v>
      </c>
      <c r="V811" s="10">
        <v>4.2780384615384609E-2</v>
      </c>
      <c r="W811" s="10">
        <v>3.839653846153844E-2</v>
      </c>
      <c r="X811" s="10">
        <v>3.5198490566037743E-2</v>
      </c>
      <c r="Y811" s="10">
        <v>3.2288780487804869E-2</v>
      </c>
      <c r="Z811" s="11">
        <f t="shared" si="12"/>
        <v>-0.34979697999999998</v>
      </c>
    </row>
    <row r="812" spans="1:26" x14ac:dyDescent="0.3">
      <c r="A812" t="s">
        <v>811</v>
      </c>
      <c r="B812" t="s">
        <v>3077</v>
      </c>
      <c r="C812" t="s">
        <v>3078</v>
      </c>
      <c r="D812" t="s">
        <v>1014</v>
      </c>
      <c r="E812" t="s">
        <v>1027</v>
      </c>
      <c r="F812" t="s">
        <v>1181</v>
      </c>
      <c r="G812" t="s">
        <v>3079</v>
      </c>
      <c r="H812" s="13">
        <v>6942.8239999999996</v>
      </c>
      <c r="I812" s="14">
        <v>6687409.0199999996</v>
      </c>
      <c r="J812" t="s">
        <v>1061</v>
      </c>
      <c r="K812" s="10">
        <v>1026.91122</v>
      </c>
      <c r="X812" s="10">
        <v>967.23565811320827</v>
      </c>
      <c r="Y812" s="10">
        <v>1025.493487073172</v>
      </c>
      <c r="Z812" s="11" t="str">
        <f t="shared" si="12"/>
        <v/>
      </c>
    </row>
    <row r="813" spans="1:26" x14ac:dyDescent="0.3">
      <c r="A813" t="s">
        <v>812</v>
      </c>
      <c r="B813" t="s">
        <v>3080</v>
      </c>
      <c r="C813" t="s">
        <v>3081</v>
      </c>
      <c r="D813" t="s">
        <v>1015</v>
      </c>
      <c r="E813" t="s">
        <v>1030</v>
      </c>
      <c r="F813" t="s">
        <v>2039</v>
      </c>
      <c r="G813" t="s">
        <v>3082</v>
      </c>
      <c r="H813" s="13">
        <v>28387352.405000001</v>
      </c>
      <c r="I813" s="14">
        <v>6676761.2300000004</v>
      </c>
      <c r="J813" t="s">
        <v>1052</v>
      </c>
      <c r="K813" s="10">
        <v>5.654E-2</v>
      </c>
      <c r="M813" s="10">
        <v>5.2753962264150953E-2</v>
      </c>
      <c r="N813" s="10">
        <v>5.7947499999999992E-2</v>
      </c>
      <c r="O813" s="10">
        <v>6.9101923076923075E-2</v>
      </c>
      <c r="P813" s="10">
        <v>6.0910576923076887E-2</v>
      </c>
      <c r="Q813" s="10">
        <v>6.0944423076923077E-2</v>
      </c>
      <c r="R813" s="10">
        <v>7.6562500000000006E-2</v>
      </c>
      <c r="S813" s="10">
        <v>8.2709811320754681E-2</v>
      </c>
      <c r="T813" s="10">
        <v>7.6969615384615386E-2</v>
      </c>
      <c r="U813" s="10">
        <v>7.5010961538461512E-2</v>
      </c>
      <c r="V813" s="10">
        <v>6.7217115384615375E-2</v>
      </c>
      <c r="W813" s="10">
        <v>6.0638846153846147E-2</v>
      </c>
      <c r="X813" s="10">
        <v>6.2544150943396229E-2</v>
      </c>
      <c r="Y813" s="10">
        <v>6.0992682926829259E-2</v>
      </c>
      <c r="Z813" s="11">
        <f t="shared" si="12"/>
        <v>-0.1830968</v>
      </c>
    </row>
    <row r="814" spans="1:26" x14ac:dyDescent="0.3">
      <c r="A814" t="s">
        <v>813</v>
      </c>
      <c r="B814" t="s">
        <v>3083</v>
      </c>
      <c r="C814" t="s">
        <v>3084</v>
      </c>
      <c r="D814" t="s">
        <v>1015</v>
      </c>
      <c r="E814" t="s">
        <v>1018</v>
      </c>
      <c r="F814" t="s">
        <v>1610</v>
      </c>
      <c r="G814" t="s">
        <v>2713</v>
      </c>
      <c r="H814" s="13">
        <v>38758807.100000001</v>
      </c>
      <c r="I814" s="14">
        <v>6661245.5599999996</v>
      </c>
      <c r="J814" t="s">
        <v>1052</v>
      </c>
      <c r="K814" s="10">
        <v>4.6249999999999999E-2</v>
      </c>
      <c r="V814" s="10">
        <v>4.7015416666666678E-2</v>
      </c>
      <c r="W814" s="10">
        <v>4.3723076923076913E-2</v>
      </c>
      <c r="X814" s="10">
        <v>4.6122264150943393E-2</v>
      </c>
      <c r="Y814" s="10">
        <v>4.656682926829267E-2</v>
      </c>
      <c r="Z814" s="11" t="str">
        <f t="shared" si="12"/>
        <v/>
      </c>
    </row>
    <row r="815" spans="1:26" x14ac:dyDescent="0.3">
      <c r="A815" t="s">
        <v>814</v>
      </c>
      <c r="B815" t="s">
        <v>3085</v>
      </c>
      <c r="C815" t="s">
        <v>3086</v>
      </c>
      <c r="D815" t="s">
        <v>1014</v>
      </c>
      <c r="E815" t="s">
        <v>1027</v>
      </c>
      <c r="F815" t="s">
        <v>1382</v>
      </c>
      <c r="G815" t="s">
        <v>1555</v>
      </c>
      <c r="H815" s="13">
        <v>82684</v>
      </c>
      <c r="I815" s="14">
        <v>6642968.46</v>
      </c>
      <c r="J815" t="s">
        <v>1052</v>
      </c>
      <c r="K815" s="10">
        <v>83.034499999999994</v>
      </c>
      <c r="W815" s="10">
        <v>77.432948378378399</v>
      </c>
      <c r="X815" s="10">
        <v>79.48244075471699</v>
      </c>
      <c r="Y815" s="10">
        <v>83.808125609756118</v>
      </c>
      <c r="Z815" s="11" t="str">
        <f t="shared" si="12"/>
        <v/>
      </c>
    </row>
    <row r="816" spans="1:26" x14ac:dyDescent="0.3">
      <c r="A816" t="s">
        <v>815</v>
      </c>
      <c r="B816" t="s">
        <v>3087</v>
      </c>
      <c r="C816" t="s">
        <v>3088</v>
      </c>
      <c r="D816" t="s">
        <v>1015</v>
      </c>
      <c r="E816" t="s">
        <v>1026</v>
      </c>
      <c r="F816" t="s">
        <v>3089</v>
      </c>
      <c r="G816" t="s">
        <v>3090</v>
      </c>
      <c r="H816" s="13">
        <v>14073881.405999999</v>
      </c>
      <c r="I816" s="14">
        <v>6606860.3899999997</v>
      </c>
      <c r="J816" t="s">
        <v>1052</v>
      </c>
      <c r="K816" s="10">
        <v>0.10489999999999999</v>
      </c>
      <c r="U816" s="10">
        <v>0.14044454545454549</v>
      </c>
      <c r="V816" s="10">
        <v>0.13722134615384621</v>
      </c>
      <c r="W816" s="10">
        <v>0.12474653846153839</v>
      </c>
      <c r="X816" s="10">
        <v>0.1196624528301887</v>
      </c>
      <c r="Y816" s="10">
        <v>0.1117465853658537</v>
      </c>
      <c r="Z816" s="11" t="str">
        <f t="shared" si="12"/>
        <v/>
      </c>
    </row>
    <row r="817" spans="1:26" x14ac:dyDescent="0.3">
      <c r="A817" t="s">
        <v>816</v>
      </c>
      <c r="B817" t="s">
        <v>3091</v>
      </c>
      <c r="C817" t="s">
        <v>3092</v>
      </c>
      <c r="D817" t="s">
        <v>1015</v>
      </c>
      <c r="E817" t="s">
        <v>1026</v>
      </c>
      <c r="F817" t="s">
        <v>2183</v>
      </c>
      <c r="G817" t="s">
        <v>3093</v>
      </c>
      <c r="H817" s="13">
        <v>8670032.8699999992</v>
      </c>
      <c r="I817" s="14">
        <v>6592074.3099999996</v>
      </c>
      <c r="J817" t="s">
        <v>1052</v>
      </c>
      <c r="K817" s="10">
        <v>0.41000999999999999</v>
      </c>
      <c r="O817" s="10">
        <v>0.66135500000000014</v>
      </c>
      <c r="P817" s="10">
        <v>0.55712615384615394</v>
      </c>
      <c r="Q817" s="10">
        <v>0.51240884615384619</v>
      </c>
      <c r="R817" s="10">
        <v>0.51732096153846152</v>
      </c>
      <c r="S817" s="10">
        <v>0.54572113207547168</v>
      </c>
      <c r="T817" s="10">
        <v>0.59058384615384629</v>
      </c>
      <c r="U817" s="10">
        <v>0.53043211538461543</v>
      </c>
      <c r="V817" s="10">
        <v>0.49633942307692308</v>
      </c>
      <c r="W817" s="10">
        <v>0.46340365384615367</v>
      </c>
      <c r="X817" s="10">
        <v>0.42806113207547147</v>
      </c>
      <c r="Y817" s="10">
        <v>0.40785195121951229</v>
      </c>
      <c r="Z817" s="11">
        <f t="shared" si="12"/>
        <v>-0.17254246000000001</v>
      </c>
    </row>
    <row r="818" spans="1:26" x14ac:dyDescent="0.3">
      <c r="A818" t="s">
        <v>817</v>
      </c>
      <c r="B818" t="s">
        <v>3094</v>
      </c>
      <c r="C818" t="s">
        <v>3095</v>
      </c>
      <c r="D818" t="s">
        <v>1015</v>
      </c>
      <c r="E818" t="s">
        <v>1022</v>
      </c>
      <c r="F818" t="s">
        <v>3096</v>
      </c>
      <c r="G818" t="s">
        <v>3097</v>
      </c>
      <c r="H818" s="13">
        <v>32820455.454999998</v>
      </c>
      <c r="I818" s="14">
        <v>6589138.7199999997</v>
      </c>
      <c r="J818" t="s">
        <v>1061</v>
      </c>
      <c r="K818" s="10">
        <v>0.11631</v>
      </c>
      <c r="U818" s="10">
        <v>0.34282833333333329</v>
      </c>
      <c r="V818" s="10">
        <v>0.31539884615384622</v>
      </c>
      <c r="W818" s="10">
        <v>0.30091019230769228</v>
      </c>
      <c r="X818" s="10">
        <v>0.16755113207547159</v>
      </c>
      <c r="Y818" s="10">
        <v>0.1066109756097561</v>
      </c>
      <c r="Z818" s="11" t="str">
        <f t="shared" si="12"/>
        <v/>
      </c>
    </row>
    <row r="819" spans="1:26" x14ac:dyDescent="0.3">
      <c r="A819" t="s">
        <v>818</v>
      </c>
      <c r="B819" t="s">
        <v>3098</v>
      </c>
      <c r="C819" t="s">
        <v>3099</v>
      </c>
      <c r="D819" t="s">
        <v>1014</v>
      </c>
      <c r="E819" t="s">
        <v>1027</v>
      </c>
      <c r="F819" t="s">
        <v>1241</v>
      </c>
      <c r="G819" t="s">
        <v>2274</v>
      </c>
      <c r="H819" s="13">
        <v>350782</v>
      </c>
      <c r="I819" s="14">
        <v>6587032.3200000003</v>
      </c>
      <c r="J819" t="s">
        <v>1052</v>
      </c>
      <c r="K819" s="10">
        <v>19.646070000000002</v>
      </c>
      <c r="M819" s="10">
        <v>10.01469113207548</v>
      </c>
      <c r="N819" s="10">
        <v>10.81089557692308</v>
      </c>
      <c r="O819" s="10">
        <v>11.80870461538461</v>
      </c>
      <c r="P819" s="10">
        <v>12.765097499999991</v>
      </c>
      <c r="Q819" s="10">
        <v>13.663016923076929</v>
      </c>
      <c r="R819" s="10">
        <v>14.602382307692301</v>
      </c>
      <c r="S819" s="10">
        <v>15.05247150943395</v>
      </c>
      <c r="T819" s="10">
        <v>15.79285384615385</v>
      </c>
      <c r="U819" s="10">
        <v>16.872680384615371</v>
      </c>
      <c r="V819" s="10">
        <v>17.869735192307711</v>
      </c>
      <c r="W819" s="10">
        <v>18.7133528846154</v>
      </c>
      <c r="X819" s="10">
        <v>19.15619320754719</v>
      </c>
      <c r="Y819" s="10">
        <v>19.627610243902438</v>
      </c>
      <c r="Z819" s="11">
        <f t="shared" si="12"/>
        <v>0.31185396999999998</v>
      </c>
    </row>
    <row r="820" spans="1:26" x14ac:dyDescent="0.3">
      <c r="A820" t="s">
        <v>819</v>
      </c>
      <c r="B820" t="s">
        <v>3100</v>
      </c>
      <c r="C820" t="s">
        <v>3101</v>
      </c>
      <c r="D820" t="s">
        <v>1014</v>
      </c>
      <c r="E820" t="s">
        <v>1018</v>
      </c>
      <c r="F820" t="s">
        <v>2701</v>
      </c>
      <c r="G820" t="s">
        <v>3102</v>
      </c>
      <c r="H820" s="13">
        <v>483543</v>
      </c>
      <c r="I820" s="14">
        <v>6586334.0700000003</v>
      </c>
      <c r="J820" t="s">
        <v>1052</v>
      </c>
      <c r="K820" s="10">
        <v>13.81038</v>
      </c>
      <c r="T820" s="10">
        <v>11.02113307692307</v>
      </c>
      <c r="U820" s="10">
        <v>12.25127961538462</v>
      </c>
      <c r="V820" s="10">
        <v>12.63781269230768</v>
      </c>
      <c r="W820" s="10">
        <v>13.055168269230769</v>
      </c>
      <c r="X820" s="10">
        <v>13.42557886792452</v>
      </c>
      <c r="Y820" s="10">
        <v>13.80835195121951</v>
      </c>
      <c r="Z820" s="11" t="str">
        <f t="shared" si="12"/>
        <v/>
      </c>
    </row>
    <row r="821" spans="1:26" x14ac:dyDescent="0.3">
      <c r="A821" t="s">
        <v>820</v>
      </c>
      <c r="B821" t="s">
        <v>3103</v>
      </c>
      <c r="C821" t="s">
        <v>3104</v>
      </c>
      <c r="D821" t="s">
        <v>1015</v>
      </c>
      <c r="E821" t="s">
        <v>1018</v>
      </c>
      <c r="F821" t="s">
        <v>2108</v>
      </c>
      <c r="G821" t="s">
        <v>3105</v>
      </c>
      <c r="H821" s="13">
        <v>28578279.004999999</v>
      </c>
      <c r="I821" s="14">
        <v>6581315.2199999997</v>
      </c>
      <c r="J821" t="s">
        <v>1052</v>
      </c>
      <c r="K821" s="10">
        <v>4.453E-2</v>
      </c>
      <c r="M821" s="10">
        <v>9.7751132075471717E-2</v>
      </c>
      <c r="N821" s="10">
        <v>8.2766346153846149E-2</v>
      </c>
      <c r="O821" s="10">
        <v>7.0109807692307707E-2</v>
      </c>
      <c r="P821" s="10">
        <v>5.9828076923076942E-2</v>
      </c>
      <c r="Q821" s="10">
        <v>5.0061923076923052E-2</v>
      </c>
      <c r="R821" s="10">
        <v>6.7019038461538463E-2</v>
      </c>
      <c r="S821" s="10">
        <v>0.14444245283018869</v>
      </c>
      <c r="T821" s="10">
        <v>0.1129319230769231</v>
      </c>
      <c r="U821" s="10">
        <v>9.2947307692307732E-2</v>
      </c>
      <c r="V821" s="10">
        <v>6.8299807692307674E-2</v>
      </c>
      <c r="W821" s="10">
        <v>5.3662115384615391E-2</v>
      </c>
      <c r="X821" s="10">
        <v>4.8031320754716972E-2</v>
      </c>
      <c r="Y821" s="10">
        <v>4.316121951219512E-2</v>
      </c>
      <c r="Z821" s="11">
        <f t="shared" si="12"/>
        <v>-0.28331826999999998</v>
      </c>
    </row>
    <row r="822" spans="1:26" x14ac:dyDescent="0.3">
      <c r="A822" t="s">
        <v>821</v>
      </c>
      <c r="B822" t="s">
        <v>3106</v>
      </c>
      <c r="C822" t="s">
        <v>3107</v>
      </c>
      <c r="D822" t="s">
        <v>1014</v>
      </c>
      <c r="E822" t="s">
        <v>1032</v>
      </c>
      <c r="F822" t="s">
        <v>1106</v>
      </c>
      <c r="G822" t="s">
        <v>3108</v>
      </c>
      <c r="H822" s="13">
        <v>161655.6</v>
      </c>
      <c r="I822" s="14">
        <v>6569869.8300000001</v>
      </c>
      <c r="J822" t="s">
        <v>1163</v>
      </c>
      <c r="K822" s="10">
        <v>40.859929999999999</v>
      </c>
      <c r="P822" s="10">
        <v>30.034310000000001</v>
      </c>
      <c r="Q822" s="10">
        <v>31.844598269230779</v>
      </c>
      <c r="R822" s="10">
        <v>32.828492307692343</v>
      </c>
      <c r="S822" s="10">
        <v>33.606739245283023</v>
      </c>
      <c r="T822" s="10">
        <v>35.450316923076947</v>
      </c>
      <c r="U822" s="10">
        <v>36.49596307692304</v>
      </c>
      <c r="V822" s="10">
        <v>37.588910961538502</v>
      </c>
      <c r="W822" s="10">
        <v>38.718220000000002</v>
      </c>
      <c r="X822" s="10">
        <v>39.806301886792461</v>
      </c>
      <c r="Y822" s="10">
        <v>40.892213414634149</v>
      </c>
      <c r="Z822" s="11">
        <f t="shared" si="12"/>
        <v>0.21255346</v>
      </c>
    </row>
    <row r="823" spans="1:26" x14ac:dyDescent="0.3">
      <c r="A823" t="s">
        <v>822</v>
      </c>
      <c r="B823" t="s">
        <v>3109</v>
      </c>
      <c r="C823" t="s">
        <v>3110</v>
      </c>
      <c r="D823" t="s">
        <v>1014</v>
      </c>
      <c r="E823" t="s">
        <v>1030</v>
      </c>
      <c r="F823" t="s">
        <v>2279</v>
      </c>
      <c r="G823" t="s">
        <v>2566</v>
      </c>
      <c r="H823" s="13">
        <v>86426</v>
      </c>
      <c r="I823" s="14">
        <v>6562683.0300000003</v>
      </c>
      <c r="J823" t="s">
        <v>1052</v>
      </c>
      <c r="K823" s="10">
        <v>73.600229999999996</v>
      </c>
      <c r="M823" s="10">
        <v>59.740059433962273</v>
      </c>
      <c r="N823" s="10">
        <v>69.526409423076885</v>
      </c>
      <c r="O823" s="10">
        <v>79.658798461538495</v>
      </c>
      <c r="P823" s="10">
        <v>88.338481730769246</v>
      </c>
      <c r="Q823" s="10">
        <v>96.470191346153925</v>
      </c>
      <c r="R823" s="10">
        <v>105.76950461538451</v>
      </c>
      <c r="S823" s="10">
        <v>111.31641490566039</v>
      </c>
      <c r="T823" s="10">
        <v>116.4802717307692</v>
      </c>
      <c r="U823" s="10">
        <v>122.367726923077</v>
      </c>
      <c r="V823" s="10">
        <v>128.87000038461551</v>
      </c>
      <c r="W823" s="10">
        <v>73.909516538461588</v>
      </c>
      <c r="X823" s="10">
        <v>73.775413018867923</v>
      </c>
      <c r="Y823" s="10">
        <v>73.666339268292674</v>
      </c>
      <c r="Z823" s="11">
        <f t="shared" si="12"/>
        <v>-0.30248881</v>
      </c>
    </row>
    <row r="824" spans="1:26" x14ac:dyDescent="0.3">
      <c r="A824" t="s">
        <v>823</v>
      </c>
      <c r="B824" t="s">
        <v>3111</v>
      </c>
      <c r="C824" t="s">
        <v>3112</v>
      </c>
      <c r="D824" t="s">
        <v>1015</v>
      </c>
      <c r="E824" t="s">
        <v>1025</v>
      </c>
      <c r="F824" t="s">
        <v>2043</v>
      </c>
      <c r="G824" t="s">
        <v>3113</v>
      </c>
      <c r="H824" s="13">
        <v>20442202.784000002</v>
      </c>
      <c r="I824" s="14">
        <v>6560332.2400000002</v>
      </c>
      <c r="J824" t="s">
        <v>1052</v>
      </c>
      <c r="K824" s="10">
        <v>0.1535</v>
      </c>
      <c r="M824" s="10">
        <v>1.4320428301886801</v>
      </c>
      <c r="N824" s="10">
        <v>0.93012826923076863</v>
      </c>
      <c r="O824" s="10">
        <v>0.49808250000000021</v>
      </c>
      <c r="P824" s="10">
        <v>0.3163136538461539</v>
      </c>
      <c r="Q824" s="10">
        <v>0.23365442307692319</v>
      </c>
      <c r="R824" s="10">
        <v>0.23762442307692319</v>
      </c>
      <c r="S824" s="10">
        <v>0.61039666666666659</v>
      </c>
      <c r="T824" s="10">
        <v>0.49380384615384632</v>
      </c>
      <c r="U824" s="10">
        <v>0.32137153846153849</v>
      </c>
      <c r="V824" s="10">
        <v>0.23853326923076931</v>
      </c>
      <c r="W824" s="10">
        <v>0.183995576923077</v>
      </c>
      <c r="X824" s="10">
        <v>0.1754096226415095</v>
      </c>
      <c r="Y824" s="10">
        <v>0.1603751219512195</v>
      </c>
      <c r="Z824" s="11">
        <f t="shared" si="12"/>
        <v>-0.26181989</v>
      </c>
    </row>
    <row r="825" spans="1:26" x14ac:dyDescent="0.3">
      <c r="A825" t="s">
        <v>824</v>
      </c>
      <c r="B825" t="s">
        <v>3114</v>
      </c>
      <c r="C825" t="s">
        <v>3115</v>
      </c>
      <c r="D825" t="s">
        <v>1015</v>
      </c>
      <c r="E825" t="s">
        <v>1027</v>
      </c>
      <c r="F825" t="s">
        <v>1624</v>
      </c>
      <c r="G825" t="s">
        <v>2986</v>
      </c>
      <c r="H825" s="13">
        <v>1517909</v>
      </c>
      <c r="I825" s="14">
        <v>6550095.3799999999</v>
      </c>
      <c r="J825" t="s">
        <v>1052</v>
      </c>
      <c r="K825" s="10">
        <v>2.6012599999999999</v>
      </c>
      <c r="W825" s="10">
        <v>4.7806713461538459</v>
      </c>
      <c r="X825" s="10">
        <v>4.0394403773584884</v>
      </c>
      <c r="Y825" s="10">
        <v>2.9010892682926812</v>
      </c>
      <c r="Z825" s="11" t="str">
        <f t="shared" si="12"/>
        <v/>
      </c>
    </row>
    <row r="826" spans="1:26" x14ac:dyDescent="0.3">
      <c r="A826" t="s">
        <v>825</v>
      </c>
      <c r="B826" t="s">
        <v>3116</v>
      </c>
      <c r="C826" t="s">
        <v>3117</v>
      </c>
      <c r="D826" t="s">
        <v>1014</v>
      </c>
      <c r="E826" t="s">
        <v>1027</v>
      </c>
      <c r="F826" t="s">
        <v>2211</v>
      </c>
      <c r="G826" t="s">
        <v>2212</v>
      </c>
      <c r="H826" s="13">
        <v>222014.5</v>
      </c>
      <c r="I826" s="14">
        <v>6544526.2300000004</v>
      </c>
      <c r="J826" t="s">
        <v>1052</v>
      </c>
      <c r="K826" s="10">
        <v>30.737670000000001</v>
      </c>
      <c r="P826" s="10">
        <v>15.965944615384609</v>
      </c>
      <c r="Q826" s="10">
        <v>17.390602307692308</v>
      </c>
      <c r="R826" s="10">
        <v>18.79081020408163</v>
      </c>
      <c r="S826" s="10">
        <v>20.909136792452831</v>
      </c>
      <c r="T826" s="10">
        <v>24.751815769230749</v>
      </c>
      <c r="U826" s="10">
        <v>26.98060057692307</v>
      </c>
      <c r="V826" s="10">
        <v>28.21324000000001</v>
      </c>
      <c r="W826" s="10">
        <v>28.52050891891891</v>
      </c>
      <c r="X826" s="10">
        <v>29.322208867924509</v>
      </c>
      <c r="Y826" s="10">
        <v>30.48000195121951</v>
      </c>
      <c r="Z826" s="11">
        <f t="shared" si="12"/>
        <v>0.56045473999999995</v>
      </c>
    </row>
    <row r="827" spans="1:26" x14ac:dyDescent="0.3">
      <c r="A827" t="s">
        <v>826</v>
      </c>
      <c r="B827" t="s">
        <v>3118</v>
      </c>
      <c r="C827" t="s">
        <v>2123</v>
      </c>
      <c r="D827" t="s">
        <v>1015</v>
      </c>
      <c r="E827" t="s">
        <v>1028</v>
      </c>
      <c r="F827" t="s">
        <v>1363</v>
      </c>
      <c r="G827" t="s">
        <v>2124</v>
      </c>
      <c r="H827" s="13">
        <v>17915</v>
      </c>
      <c r="I827" s="14">
        <v>6544106.9900000002</v>
      </c>
      <c r="J827" t="s">
        <v>1052</v>
      </c>
      <c r="K827" s="10">
        <v>26.45683</v>
      </c>
      <c r="X827" s="10">
        <v>175.03071</v>
      </c>
      <c r="Y827" s="10">
        <v>27.810285853658549</v>
      </c>
      <c r="Z827" s="11" t="str">
        <f t="shared" si="12"/>
        <v/>
      </c>
    </row>
    <row r="828" spans="1:26" x14ac:dyDescent="0.3">
      <c r="A828" t="s">
        <v>827</v>
      </c>
      <c r="B828" t="s">
        <v>3119</v>
      </c>
      <c r="C828" t="s">
        <v>3007</v>
      </c>
      <c r="D828" t="s">
        <v>1015</v>
      </c>
      <c r="E828" t="s">
        <v>1026</v>
      </c>
      <c r="F828" t="s">
        <v>3120</v>
      </c>
      <c r="G828" t="s">
        <v>3008</v>
      </c>
      <c r="H828" s="13">
        <v>98264.907999999996</v>
      </c>
      <c r="I828" s="14">
        <v>6539188.8799999999</v>
      </c>
      <c r="J828" t="s">
        <v>1052</v>
      </c>
      <c r="K828" s="10">
        <v>23.798380000000002</v>
      </c>
      <c r="W828" s="10">
        <v>25.456762432432431</v>
      </c>
      <c r="X828" s="10">
        <v>21.854867358490569</v>
      </c>
      <c r="Y828" s="10">
        <v>21.571262439024391</v>
      </c>
      <c r="Z828" s="11" t="str">
        <f t="shared" si="12"/>
        <v/>
      </c>
    </row>
    <row r="829" spans="1:26" x14ac:dyDescent="0.3">
      <c r="A829" t="s">
        <v>828</v>
      </c>
      <c r="B829" t="s">
        <v>3121</v>
      </c>
      <c r="C829" t="s">
        <v>3122</v>
      </c>
      <c r="D829" t="s">
        <v>1014</v>
      </c>
      <c r="E829" t="s">
        <v>1018</v>
      </c>
      <c r="F829" t="s">
        <v>1862</v>
      </c>
      <c r="G829" t="s">
        <v>3123</v>
      </c>
      <c r="H829" s="13">
        <v>1496950.3</v>
      </c>
      <c r="I829" s="14">
        <v>6538894.4800000004</v>
      </c>
      <c r="J829" t="s">
        <v>1061</v>
      </c>
      <c r="K829" s="10">
        <v>4.4973900000000002</v>
      </c>
      <c r="V829" s="10">
        <v>3.7755538461538491</v>
      </c>
      <c r="W829" s="10">
        <v>4.0111525000000006</v>
      </c>
      <c r="X829" s="10">
        <v>4.337652264150945</v>
      </c>
      <c r="Y829" s="10">
        <v>4.4811087804878031</v>
      </c>
      <c r="Z829" s="11" t="str">
        <f t="shared" si="12"/>
        <v/>
      </c>
    </row>
    <row r="830" spans="1:26" x14ac:dyDescent="0.3">
      <c r="A830" t="s">
        <v>829</v>
      </c>
      <c r="B830" t="s">
        <v>3124</v>
      </c>
      <c r="C830" t="s">
        <v>3125</v>
      </c>
      <c r="D830" t="s">
        <v>1015</v>
      </c>
      <c r="E830" t="s">
        <v>1019</v>
      </c>
      <c r="F830" t="s">
        <v>1064</v>
      </c>
      <c r="G830" t="s">
        <v>3126</v>
      </c>
      <c r="H830" s="13">
        <v>283351</v>
      </c>
      <c r="I830" s="14">
        <v>6530932.1600000001</v>
      </c>
      <c r="J830" t="s">
        <v>1061</v>
      </c>
      <c r="K830" s="10">
        <v>22.740829999999999</v>
      </c>
      <c r="V830" s="10">
        <v>22.79423666666667</v>
      </c>
      <c r="W830" s="10">
        <v>22.73033461538461</v>
      </c>
      <c r="X830" s="10">
        <v>22.758921132075471</v>
      </c>
      <c r="Y830" s="10">
        <v>22.73232121951218</v>
      </c>
      <c r="Z830" s="11" t="str">
        <f t="shared" si="12"/>
        <v/>
      </c>
    </row>
    <row r="831" spans="1:26" x14ac:dyDescent="0.3">
      <c r="A831" t="s">
        <v>830</v>
      </c>
      <c r="B831" t="s">
        <v>3127</v>
      </c>
      <c r="C831" t="s">
        <v>3128</v>
      </c>
      <c r="D831" t="s">
        <v>1014</v>
      </c>
      <c r="E831" t="s">
        <v>1018</v>
      </c>
      <c r="F831" t="s">
        <v>2668</v>
      </c>
      <c r="G831" t="s">
        <v>2669</v>
      </c>
      <c r="H831" s="13">
        <v>25663</v>
      </c>
      <c r="I831" s="14">
        <v>6512338.8600000003</v>
      </c>
      <c r="J831" t="s">
        <v>1061</v>
      </c>
      <c r="K831" s="10">
        <v>258.00731999999999</v>
      </c>
      <c r="T831" s="10">
        <v>224.02245458333331</v>
      </c>
      <c r="U831" s="10">
        <v>227.55876173076931</v>
      </c>
      <c r="V831" s="10">
        <v>237.96705076923101</v>
      </c>
      <c r="W831" s="10">
        <v>244.2299844230769</v>
      </c>
      <c r="X831" s="10">
        <v>250.39649981132081</v>
      </c>
      <c r="Y831" s="10">
        <v>257.52698512195133</v>
      </c>
      <c r="Z831" s="11" t="str">
        <f t="shared" si="12"/>
        <v/>
      </c>
    </row>
    <row r="832" spans="1:26" x14ac:dyDescent="0.3">
      <c r="A832" t="s">
        <v>831</v>
      </c>
      <c r="B832" t="s">
        <v>3129</v>
      </c>
      <c r="C832" t="s">
        <v>3130</v>
      </c>
      <c r="D832" t="s">
        <v>1015</v>
      </c>
      <c r="E832" t="s">
        <v>1027</v>
      </c>
      <c r="F832" t="s">
        <v>2052</v>
      </c>
      <c r="G832" t="s">
        <v>2851</v>
      </c>
      <c r="H832" s="13">
        <v>29030476.715999998</v>
      </c>
      <c r="I832" s="14">
        <v>6508644.7599999998</v>
      </c>
      <c r="J832" t="s">
        <v>1052</v>
      </c>
      <c r="K832" s="10">
        <v>5.126E-2</v>
      </c>
      <c r="Q832" s="10">
        <v>8.3490000000000009E-2</v>
      </c>
      <c r="R832" s="10">
        <v>8.0475769230769226E-2</v>
      </c>
      <c r="S832" s="10">
        <v>7.5174905660377336E-2</v>
      </c>
      <c r="T832" s="10">
        <v>7.4454230769230773E-2</v>
      </c>
      <c r="U832" s="10">
        <v>6.8550769230769221E-2</v>
      </c>
      <c r="V832" s="10">
        <v>6.4253269230769225E-2</v>
      </c>
      <c r="W832" s="10">
        <v>5.8268653846153817E-2</v>
      </c>
      <c r="X832" s="10">
        <v>5.7626415094339668E-2</v>
      </c>
      <c r="Y832" s="10">
        <v>5.0744878048780487E-2</v>
      </c>
      <c r="Z832" s="11">
        <f t="shared" si="12"/>
        <v>-0.28392836999999999</v>
      </c>
    </row>
    <row r="833" spans="1:26" x14ac:dyDescent="0.3">
      <c r="A833" t="s">
        <v>832</v>
      </c>
      <c r="B833" t="s">
        <v>3131</v>
      </c>
      <c r="C833" t="s">
        <v>3132</v>
      </c>
      <c r="D833" t="s">
        <v>1014</v>
      </c>
      <c r="E833" t="s">
        <v>1032</v>
      </c>
      <c r="F833" t="s">
        <v>1096</v>
      </c>
      <c r="G833" t="s">
        <v>3133</v>
      </c>
      <c r="H833" s="13">
        <v>181305</v>
      </c>
      <c r="I833" s="14">
        <v>6476601.7000000002</v>
      </c>
      <c r="J833" t="s">
        <v>1061</v>
      </c>
      <c r="K833" s="10">
        <v>34.931699999999999</v>
      </c>
      <c r="X833" s="10">
        <v>34.902399811320748</v>
      </c>
      <c r="Y833" s="10">
        <v>34.869602439024412</v>
      </c>
      <c r="Z833" s="11" t="str">
        <f t="shared" si="12"/>
        <v/>
      </c>
    </row>
    <row r="834" spans="1:26" x14ac:dyDescent="0.3">
      <c r="A834" t="s">
        <v>833</v>
      </c>
      <c r="B834" t="s">
        <v>3134</v>
      </c>
      <c r="C834" t="s">
        <v>3135</v>
      </c>
      <c r="D834" t="s">
        <v>1015</v>
      </c>
      <c r="E834" t="s">
        <v>1030</v>
      </c>
      <c r="F834" t="s">
        <v>1382</v>
      </c>
      <c r="G834" t="s">
        <v>3136</v>
      </c>
      <c r="H834" s="13">
        <v>1262359</v>
      </c>
      <c r="I834" s="14">
        <v>6468571.2800000003</v>
      </c>
      <c r="J834" t="s">
        <v>1052</v>
      </c>
      <c r="K834" s="10">
        <v>4.7070800000000004</v>
      </c>
      <c r="S834" s="10">
        <v>6.3045906896551722</v>
      </c>
      <c r="T834" s="10">
        <v>6.2307703846153828</v>
      </c>
      <c r="U834" s="10">
        <v>5.9195488461538499</v>
      </c>
      <c r="V834" s="10">
        <v>5.6003976923076904</v>
      </c>
      <c r="W834" s="10">
        <v>5.2488459615384624</v>
      </c>
      <c r="X834" s="10">
        <v>4.7267735849056596</v>
      </c>
      <c r="Y834" s="10">
        <v>4.8031119512195106</v>
      </c>
      <c r="Z834" s="11" t="str">
        <f t="shared" ref="Z834:Z897" si="13">IF(AND(ISNUMBER(INDEX($L834:$Y834,MATCH(BaseYear,p_years,0))),ISNUMBER(INDEX($L834:$Y834,MATCH(EndYear,p_years,0)))),ROUND(INDEX($L834:$Y834,MATCH(EndYear,p_years,0))/INDEX($L834:$Y834,MATCH(BaseYear,p_years,0))-1,8),"")</f>
        <v/>
      </c>
    </row>
    <row r="835" spans="1:26" x14ac:dyDescent="0.3">
      <c r="A835" t="s">
        <v>834</v>
      </c>
      <c r="B835" t="s">
        <v>3137</v>
      </c>
      <c r="C835" t="s">
        <v>1823</v>
      </c>
      <c r="D835" t="s">
        <v>1015</v>
      </c>
      <c r="E835" t="s">
        <v>1029</v>
      </c>
      <c r="F835" t="s">
        <v>2266</v>
      </c>
      <c r="G835" t="s">
        <v>1824</v>
      </c>
      <c r="H835" s="13">
        <v>65977938</v>
      </c>
      <c r="I835" s="14">
        <v>6435917.75</v>
      </c>
      <c r="J835" t="s">
        <v>1061</v>
      </c>
      <c r="K835" s="10">
        <v>3.8400000000000001E-3</v>
      </c>
      <c r="W835" s="10">
        <v>4.1941666666666646E-3</v>
      </c>
      <c r="X835" s="10">
        <v>3.236415094339621E-3</v>
      </c>
      <c r="Y835" s="10">
        <v>3.7297560975609748E-3</v>
      </c>
      <c r="Z835" s="11" t="str">
        <f t="shared" si="13"/>
        <v/>
      </c>
    </row>
    <row r="836" spans="1:26" x14ac:dyDescent="0.3">
      <c r="A836" t="s">
        <v>835</v>
      </c>
      <c r="B836" t="s">
        <v>3138</v>
      </c>
      <c r="C836" t="s">
        <v>2001</v>
      </c>
      <c r="D836" t="s">
        <v>1014</v>
      </c>
      <c r="E836" t="s">
        <v>1020</v>
      </c>
      <c r="F836" t="s">
        <v>1123</v>
      </c>
      <c r="G836" t="s">
        <v>2002</v>
      </c>
      <c r="H836" s="13">
        <v>3543.72</v>
      </c>
      <c r="I836" s="14">
        <v>6413188.4400000004</v>
      </c>
      <c r="J836" t="s">
        <v>1061</v>
      </c>
      <c r="K836" s="10">
        <v>1841.2748799999999</v>
      </c>
      <c r="Y836" s="10">
        <v>1842.386098536585</v>
      </c>
      <c r="Z836" s="11" t="str">
        <f t="shared" si="13"/>
        <v/>
      </c>
    </row>
    <row r="837" spans="1:26" x14ac:dyDescent="0.3">
      <c r="A837" t="s">
        <v>836</v>
      </c>
      <c r="B837" t="s">
        <v>3139</v>
      </c>
      <c r="C837" t="s">
        <v>3140</v>
      </c>
      <c r="D837" t="s">
        <v>1015</v>
      </c>
      <c r="E837" t="s">
        <v>1027</v>
      </c>
      <c r="F837" t="s">
        <v>2108</v>
      </c>
      <c r="G837" t="s">
        <v>3141</v>
      </c>
      <c r="H837" s="13">
        <v>9076024.0170000009</v>
      </c>
      <c r="I837" s="14">
        <v>6383264.5599999996</v>
      </c>
      <c r="J837" t="s">
        <v>1052</v>
      </c>
      <c r="K837" s="10">
        <v>0.61031000000000002</v>
      </c>
      <c r="P837" s="10">
        <v>0.78675035714285724</v>
      </c>
      <c r="Q837" s="10">
        <v>0.72843423076923064</v>
      </c>
      <c r="R837" s="10">
        <v>0.56769538461538482</v>
      </c>
      <c r="S837" s="10">
        <v>0.58304301886792465</v>
      </c>
      <c r="T837" s="10">
        <v>0.59898884615384596</v>
      </c>
      <c r="U837" s="10">
        <v>0.57300673076923081</v>
      </c>
      <c r="V837" s="10">
        <v>0.58816211538461516</v>
      </c>
      <c r="W837" s="10">
        <v>0.58334038461538451</v>
      </c>
      <c r="X837" s="10">
        <v>0.58799528301886794</v>
      </c>
      <c r="Y837" s="10">
        <v>0.61570634146341474</v>
      </c>
      <c r="Z837" s="11">
        <f t="shared" si="13"/>
        <v>3.5758430000000001E-2</v>
      </c>
    </row>
    <row r="838" spans="1:26" x14ac:dyDescent="0.3">
      <c r="A838" t="s">
        <v>837</v>
      </c>
      <c r="B838" t="s">
        <v>3142</v>
      </c>
      <c r="C838" t="s">
        <v>3143</v>
      </c>
      <c r="D838" t="s">
        <v>1015</v>
      </c>
      <c r="E838" t="s">
        <v>1022</v>
      </c>
      <c r="F838" t="s">
        <v>1610</v>
      </c>
      <c r="G838" t="s">
        <v>3144</v>
      </c>
      <c r="H838" s="13">
        <v>1116787777.4100001</v>
      </c>
      <c r="I838" s="14">
        <v>6367128.1399999997</v>
      </c>
      <c r="J838" t="s">
        <v>1061</v>
      </c>
      <c r="K838" s="10">
        <v>4.6499999999999996E-3</v>
      </c>
      <c r="M838" s="10">
        <v>2.987735849056605E-3</v>
      </c>
      <c r="N838" s="10">
        <v>2.965961538461538E-3</v>
      </c>
      <c r="O838" s="10">
        <v>2.977500000000001E-3</v>
      </c>
      <c r="P838" s="10">
        <v>2.923846153846154E-3</v>
      </c>
      <c r="Q838" s="10">
        <v>2.7082692307692298E-3</v>
      </c>
      <c r="R838" s="10">
        <v>2.8601923076923071E-3</v>
      </c>
      <c r="S838" s="10">
        <v>2.8641509433962268E-3</v>
      </c>
      <c r="T838" s="10">
        <v>2.95826923076923E-3</v>
      </c>
      <c r="U838" s="10">
        <v>3.9084615384615377E-3</v>
      </c>
      <c r="V838" s="10">
        <v>4.4278846153846148E-3</v>
      </c>
      <c r="W838" s="10">
        <v>4.2867307692307701E-3</v>
      </c>
      <c r="X838" s="10">
        <v>4.4711320754716984E-3</v>
      </c>
      <c r="Y838" s="10">
        <v>4.5668292682926812E-3</v>
      </c>
      <c r="Z838" s="11">
        <f t="shared" si="13"/>
        <v>0.56322777999999996</v>
      </c>
    </row>
    <row r="839" spans="1:26" x14ac:dyDescent="0.3">
      <c r="A839" t="s">
        <v>838</v>
      </c>
      <c r="B839" t="s">
        <v>3145</v>
      </c>
      <c r="C839" t="s">
        <v>2392</v>
      </c>
      <c r="D839" t="s">
        <v>1015</v>
      </c>
      <c r="E839" t="s">
        <v>1032</v>
      </c>
      <c r="F839" t="s">
        <v>2471</v>
      </c>
      <c r="G839" t="s">
        <v>2393</v>
      </c>
      <c r="H839" s="13">
        <v>154974.13399999999</v>
      </c>
      <c r="I839" s="14">
        <v>6357549.9199999999</v>
      </c>
      <c r="J839" t="s">
        <v>1061</v>
      </c>
      <c r="K839" s="10">
        <v>0.89800999999999997</v>
      </c>
      <c r="M839" s="10">
        <v>0.81989943396226406</v>
      </c>
      <c r="N839" s="10">
        <v>0.80476615384615391</v>
      </c>
      <c r="O839" s="10">
        <v>0.78292634615384626</v>
      </c>
      <c r="P839" s="10">
        <v>0.72725000000000051</v>
      </c>
      <c r="Q839" s="10">
        <v>0.67516923076923085</v>
      </c>
      <c r="R839" s="10">
        <v>0.94002211538461478</v>
      </c>
      <c r="S839" s="10">
        <v>0.93847694444444452</v>
      </c>
      <c r="T839" s="10">
        <v>1.097494615384615</v>
      </c>
      <c r="U839" s="10">
        <v>0.92414826923076909</v>
      </c>
      <c r="V839" s="10">
        <v>0.89084826923076954</v>
      </c>
      <c r="W839" s="10">
        <v>0.90713326923076987</v>
      </c>
      <c r="X839" s="10">
        <v>0.91005452830188649</v>
      </c>
      <c r="Y839" s="10">
        <v>0.936531463414634</v>
      </c>
      <c r="Z839" s="11">
        <f t="shared" si="13"/>
        <v>-3.1879659999999997E-2</v>
      </c>
    </row>
    <row r="840" spans="1:26" x14ac:dyDescent="0.3">
      <c r="A840" t="s">
        <v>839</v>
      </c>
      <c r="B840" t="s">
        <v>3146</v>
      </c>
      <c r="C840" t="s">
        <v>3147</v>
      </c>
      <c r="D840" t="s">
        <v>1014</v>
      </c>
      <c r="E840" t="s">
        <v>1030</v>
      </c>
      <c r="F840" t="s">
        <v>3148</v>
      </c>
      <c r="G840" t="s">
        <v>3149</v>
      </c>
      <c r="H840" s="13">
        <v>26552.35</v>
      </c>
      <c r="I840" s="14">
        <v>6349720.8099999996</v>
      </c>
      <c r="J840" t="s">
        <v>1052</v>
      </c>
      <c r="K840" s="10">
        <v>16.449000000000002</v>
      </c>
      <c r="W840" s="10">
        <v>20.752560384615379</v>
      </c>
      <c r="X840" s="10">
        <v>20.445309811320751</v>
      </c>
      <c r="Y840" s="10">
        <v>17.759527317073161</v>
      </c>
      <c r="Z840" s="11" t="str">
        <f t="shared" si="13"/>
        <v/>
      </c>
    </row>
    <row r="841" spans="1:26" x14ac:dyDescent="0.3">
      <c r="A841" t="s">
        <v>840</v>
      </c>
      <c r="B841" t="s">
        <v>3150</v>
      </c>
      <c r="C841" t="s">
        <v>3151</v>
      </c>
      <c r="D841" t="s">
        <v>1015</v>
      </c>
      <c r="E841" t="s">
        <v>1025</v>
      </c>
      <c r="F841" t="s">
        <v>3152</v>
      </c>
      <c r="G841" t="s">
        <v>3153</v>
      </c>
      <c r="H841" s="13">
        <v>1156812.5</v>
      </c>
      <c r="I841" s="14">
        <v>6314348.7000000002</v>
      </c>
      <c r="J841" t="s">
        <v>1061</v>
      </c>
      <c r="K841" s="10">
        <v>4.8273299999999999</v>
      </c>
      <c r="M841" s="10">
        <v>8.8461571698113168</v>
      </c>
      <c r="N841" s="10">
        <v>8.3886151923076948</v>
      </c>
      <c r="O841" s="10">
        <v>7.8745992307692294</v>
      </c>
      <c r="P841" s="10">
        <v>7.0760490384615427</v>
      </c>
      <c r="Q841" s="10">
        <v>6.330332115384615</v>
      </c>
      <c r="R841" s="10">
        <v>6.166630769230772</v>
      </c>
      <c r="S841" s="10">
        <v>5.9918783018867936</v>
      </c>
      <c r="T841" s="10">
        <v>5.5847263461538432</v>
      </c>
      <c r="U841" s="10">
        <v>5.5732521153846157</v>
      </c>
      <c r="V841" s="10">
        <v>5.3616469230769228</v>
      </c>
      <c r="W841" s="10">
        <v>5.0480132692307693</v>
      </c>
      <c r="X841" s="10">
        <v>4.8215250943396217</v>
      </c>
      <c r="Y841" s="10">
        <v>4.6250241463414614</v>
      </c>
      <c r="Z841" s="11">
        <f t="shared" si="13"/>
        <v>-0.21812651</v>
      </c>
    </row>
    <row r="842" spans="1:26" x14ac:dyDescent="0.3">
      <c r="A842" t="s">
        <v>841</v>
      </c>
      <c r="B842" t="s">
        <v>3154</v>
      </c>
      <c r="C842" t="s">
        <v>3044</v>
      </c>
      <c r="D842" t="s">
        <v>1015</v>
      </c>
      <c r="E842" t="s">
        <v>1027</v>
      </c>
      <c r="F842" t="s">
        <v>2108</v>
      </c>
      <c r="G842" t="s">
        <v>3045</v>
      </c>
      <c r="H842" s="13">
        <v>140930487.37400001</v>
      </c>
      <c r="I842" s="14">
        <v>6301285.3799999999</v>
      </c>
      <c r="J842" t="s">
        <v>1061</v>
      </c>
      <c r="K842" s="10">
        <v>3.015E-2</v>
      </c>
      <c r="M842" s="10">
        <v>5.4776226415094331E-2</v>
      </c>
      <c r="N842" s="10">
        <v>4.7453653846153861E-2</v>
      </c>
      <c r="O842" s="10">
        <v>4.6432307692307703E-2</v>
      </c>
      <c r="U842" s="10">
        <v>3.4086585365853669E-2</v>
      </c>
      <c r="V842" s="10">
        <v>3.2467692307692309E-2</v>
      </c>
      <c r="W842" s="10">
        <v>3.0050384615384621E-2</v>
      </c>
      <c r="X842" s="10">
        <v>3.0359811320754729E-2</v>
      </c>
      <c r="Y842" s="10">
        <v>3.0444146341463401E-2</v>
      </c>
      <c r="Z842" s="11" t="str">
        <f t="shared" si="13"/>
        <v/>
      </c>
    </row>
    <row r="843" spans="1:26" x14ac:dyDescent="0.3">
      <c r="A843" t="s">
        <v>842</v>
      </c>
      <c r="B843" t="s">
        <v>3155</v>
      </c>
      <c r="C843" t="s">
        <v>3156</v>
      </c>
      <c r="D843" t="s">
        <v>1014</v>
      </c>
      <c r="E843" t="s">
        <v>1019</v>
      </c>
      <c r="F843" t="s">
        <v>1123</v>
      </c>
      <c r="G843" t="s">
        <v>1588</v>
      </c>
      <c r="H843" s="13">
        <v>1188437.9709999999</v>
      </c>
      <c r="I843" s="14">
        <v>6296220.0199999996</v>
      </c>
      <c r="J843" t="s">
        <v>1061</v>
      </c>
      <c r="K843" s="10">
        <v>4.2629000000000001</v>
      </c>
      <c r="M843" s="10">
        <v>9.4714284905660424</v>
      </c>
      <c r="N843" s="10">
        <v>11.403214230769221</v>
      </c>
      <c r="O843" s="10">
        <v>12.957215192307689</v>
      </c>
      <c r="P843" s="10">
        <v>14.149590384615379</v>
      </c>
      <c r="Q843" s="10">
        <v>14.55788865384614</v>
      </c>
      <c r="R843" s="10">
        <v>14.52449846153845</v>
      </c>
      <c r="S843" s="10">
        <v>14.290260566037739</v>
      </c>
      <c r="T843" s="10">
        <v>14.28490230769231</v>
      </c>
      <c r="U843" s="10">
        <v>14.268472307692299</v>
      </c>
      <c r="V843" s="10">
        <v>14.27777980769231</v>
      </c>
      <c r="W843" s="10">
        <v>4.4721928846153851</v>
      </c>
      <c r="X843" s="10">
        <v>4.2691330188679233</v>
      </c>
      <c r="Y843" s="10">
        <v>4.2656139024390232</v>
      </c>
      <c r="Z843" s="11">
        <f t="shared" si="13"/>
        <v>-0.70607363999999995</v>
      </c>
    </row>
    <row r="844" spans="1:26" x14ac:dyDescent="0.3">
      <c r="A844" t="s">
        <v>843</v>
      </c>
      <c r="B844" t="s">
        <v>3157</v>
      </c>
      <c r="C844" t="s">
        <v>3158</v>
      </c>
      <c r="D844" t="s">
        <v>1015</v>
      </c>
      <c r="E844" t="s">
        <v>1030</v>
      </c>
      <c r="F844" t="s">
        <v>2959</v>
      </c>
      <c r="G844" t="s">
        <v>3159</v>
      </c>
      <c r="H844" s="13">
        <v>344043</v>
      </c>
      <c r="I844" s="14">
        <v>6294929.0700000003</v>
      </c>
      <c r="J844" t="s">
        <v>1052</v>
      </c>
      <c r="K844" s="10">
        <v>8.3480000000000008</v>
      </c>
      <c r="Y844" s="10">
        <v>8.3480000000000079</v>
      </c>
      <c r="Z844" s="11" t="str">
        <f t="shared" si="13"/>
        <v/>
      </c>
    </row>
    <row r="845" spans="1:26" x14ac:dyDescent="0.3">
      <c r="A845" t="s">
        <v>844</v>
      </c>
      <c r="B845" t="s">
        <v>3160</v>
      </c>
      <c r="C845" t="s">
        <v>3161</v>
      </c>
      <c r="D845" t="s">
        <v>1014</v>
      </c>
      <c r="E845" t="s">
        <v>1022</v>
      </c>
      <c r="F845" t="s">
        <v>1511</v>
      </c>
      <c r="G845" t="s">
        <v>1512</v>
      </c>
      <c r="H845" s="13">
        <v>1092175</v>
      </c>
      <c r="I845" s="14">
        <v>6293061.04</v>
      </c>
      <c r="J845" t="s">
        <v>1052</v>
      </c>
      <c r="K845" s="10">
        <v>6.0442</v>
      </c>
      <c r="T845" s="10">
        <v>5.2122503333333352</v>
      </c>
      <c r="U845" s="10">
        <v>5.2913800000000029</v>
      </c>
      <c r="V845" s="10">
        <v>5.5019511538461554</v>
      </c>
      <c r="W845" s="10">
        <v>5.6596673076923114</v>
      </c>
      <c r="X845" s="10">
        <v>5.8131213207547159</v>
      </c>
      <c r="Y845" s="10">
        <v>6.0469770731707317</v>
      </c>
      <c r="Z845" s="11" t="str">
        <f t="shared" si="13"/>
        <v/>
      </c>
    </row>
    <row r="846" spans="1:26" x14ac:dyDescent="0.3">
      <c r="A846" t="s">
        <v>845</v>
      </c>
      <c r="B846" t="s">
        <v>3162</v>
      </c>
      <c r="C846" t="s">
        <v>2932</v>
      </c>
      <c r="D846" t="s">
        <v>1015</v>
      </c>
      <c r="E846" t="s">
        <v>1027</v>
      </c>
      <c r="F846" t="s">
        <v>1551</v>
      </c>
      <c r="G846" t="s">
        <v>2933</v>
      </c>
      <c r="H846" s="13">
        <v>13336</v>
      </c>
      <c r="I846" s="14">
        <v>6284653.8700000001</v>
      </c>
      <c r="J846" t="s">
        <v>1052</v>
      </c>
      <c r="K846" s="10">
        <v>228.24800999999999</v>
      </c>
      <c r="X846" s="10">
        <v>547.67211132075499</v>
      </c>
      <c r="Y846" s="10">
        <v>345.41724268292688</v>
      </c>
      <c r="Z846" s="11" t="str">
        <f t="shared" si="13"/>
        <v/>
      </c>
    </row>
    <row r="847" spans="1:26" x14ac:dyDescent="0.3">
      <c r="A847" t="s">
        <v>846</v>
      </c>
      <c r="B847" t="s">
        <v>3163</v>
      </c>
      <c r="C847" t="s">
        <v>3164</v>
      </c>
      <c r="D847" t="s">
        <v>1015</v>
      </c>
      <c r="E847" t="s">
        <v>1021</v>
      </c>
      <c r="F847" t="s">
        <v>3165</v>
      </c>
      <c r="G847" t="s">
        <v>3166</v>
      </c>
      <c r="H847" s="13">
        <v>3453540</v>
      </c>
      <c r="I847" s="14">
        <v>6280679.7999999998</v>
      </c>
      <c r="J847" t="s">
        <v>1061</v>
      </c>
      <c r="K847" s="10">
        <v>2.0169000000000001</v>
      </c>
      <c r="X847" s="10">
        <v>1.8852582608695641</v>
      </c>
      <c r="Y847" s="10">
        <v>1.970867804878049</v>
      </c>
      <c r="Z847" s="11" t="str">
        <f t="shared" si="13"/>
        <v/>
      </c>
    </row>
    <row r="848" spans="1:26" x14ac:dyDescent="0.3">
      <c r="A848" t="s">
        <v>847</v>
      </c>
      <c r="B848" t="s">
        <v>3167</v>
      </c>
      <c r="C848" t="s">
        <v>3168</v>
      </c>
      <c r="D848" t="s">
        <v>1015</v>
      </c>
      <c r="E848" t="s">
        <v>1027</v>
      </c>
      <c r="F848" t="s">
        <v>1382</v>
      </c>
      <c r="G848" t="s">
        <v>2617</v>
      </c>
      <c r="H848" s="13">
        <v>13290680.5</v>
      </c>
      <c r="I848" s="14">
        <v>6275319.9199999999</v>
      </c>
      <c r="J848" t="s">
        <v>1052</v>
      </c>
      <c r="K848" s="10">
        <v>0.29555999999999999</v>
      </c>
      <c r="M848" s="10">
        <v>0.91837566037735852</v>
      </c>
      <c r="N848" s="10">
        <v>0.7888417307692307</v>
      </c>
      <c r="O848" s="10">
        <v>0.6411657692307694</v>
      </c>
      <c r="P848" s="10">
        <v>0.53104961538461537</v>
      </c>
      <c r="Q848" s="10">
        <v>0.52460326923076928</v>
      </c>
      <c r="R848" s="10">
        <v>0.47759480769230761</v>
      </c>
      <c r="S848" s="10">
        <v>0.40263339622641497</v>
      </c>
      <c r="T848" s="10">
        <v>0.36356673076923079</v>
      </c>
      <c r="U848" s="10">
        <v>0.30061846153846161</v>
      </c>
      <c r="V848" s="10">
        <v>0.33876134615384601</v>
      </c>
      <c r="W848" s="10">
        <v>0.29198769230769223</v>
      </c>
      <c r="X848" s="10">
        <v>0.3158990566037736</v>
      </c>
      <c r="Y848" s="10">
        <v>0.30704926829268292</v>
      </c>
      <c r="Z848" s="11">
        <f t="shared" si="13"/>
        <v>-0.33856261999999998</v>
      </c>
    </row>
    <row r="849" spans="1:26" x14ac:dyDescent="0.3">
      <c r="A849" t="s">
        <v>848</v>
      </c>
      <c r="B849" t="s">
        <v>3169</v>
      </c>
      <c r="C849" t="s">
        <v>3170</v>
      </c>
      <c r="D849" t="s">
        <v>1015</v>
      </c>
      <c r="E849" t="s">
        <v>1027</v>
      </c>
      <c r="F849" t="s">
        <v>2161</v>
      </c>
      <c r="G849" t="s">
        <v>2162</v>
      </c>
      <c r="H849" s="13">
        <v>415207</v>
      </c>
      <c r="I849" s="14">
        <v>6273109.2999999998</v>
      </c>
      <c r="J849" t="s">
        <v>1052</v>
      </c>
      <c r="K849" s="10">
        <v>16.50883</v>
      </c>
      <c r="S849" s="10">
        <v>17.03447207547169</v>
      </c>
      <c r="T849" s="10">
        <v>17.683446923076911</v>
      </c>
      <c r="U849" s="10">
        <v>15.75647942307692</v>
      </c>
      <c r="V849" s="10">
        <v>15.71154692307692</v>
      </c>
      <c r="W849" s="10">
        <v>15.27293961538461</v>
      </c>
      <c r="X849" s="10">
        <v>15.604116603773591</v>
      </c>
      <c r="Y849" s="10">
        <v>16.558615365853662</v>
      </c>
      <c r="Z849" s="11" t="str">
        <f t="shared" si="13"/>
        <v/>
      </c>
    </row>
    <row r="850" spans="1:26" x14ac:dyDescent="0.3">
      <c r="A850" t="s">
        <v>849</v>
      </c>
      <c r="B850" t="s">
        <v>3171</v>
      </c>
      <c r="C850" t="s">
        <v>1734</v>
      </c>
      <c r="D850" t="s">
        <v>1014</v>
      </c>
      <c r="E850" t="s">
        <v>1030</v>
      </c>
      <c r="F850" t="s">
        <v>1735</v>
      </c>
      <c r="G850" t="s">
        <v>1736</v>
      </c>
      <c r="H850" s="13">
        <v>284360</v>
      </c>
      <c r="I850" s="14">
        <v>6268565.6399999997</v>
      </c>
      <c r="J850" t="s">
        <v>1052</v>
      </c>
      <c r="K850" s="10">
        <v>22.855540000000001</v>
      </c>
      <c r="U850" s="10">
        <v>18.679835000000011</v>
      </c>
      <c r="V850" s="10">
        <v>20.048205384615411</v>
      </c>
      <c r="W850" s="10">
        <v>21.05202942307692</v>
      </c>
      <c r="X850" s="10">
        <v>21.938406415094349</v>
      </c>
      <c r="Y850" s="10">
        <v>22.838147317073179</v>
      </c>
      <c r="Z850" s="11" t="str">
        <f t="shared" si="13"/>
        <v/>
      </c>
    </row>
    <row r="851" spans="1:26" x14ac:dyDescent="0.3">
      <c r="A851" t="s">
        <v>850</v>
      </c>
      <c r="B851" t="s">
        <v>3172</v>
      </c>
      <c r="C851" t="s">
        <v>3173</v>
      </c>
      <c r="D851" t="s">
        <v>1015</v>
      </c>
      <c r="E851" t="s">
        <v>1027</v>
      </c>
      <c r="F851" t="s">
        <v>2418</v>
      </c>
      <c r="G851" t="s">
        <v>2419</v>
      </c>
      <c r="H851" s="13">
        <v>2557852.2000000002</v>
      </c>
      <c r="I851" s="14">
        <v>6267309.2000000002</v>
      </c>
      <c r="J851" t="s">
        <v>1061</v>
      </c>
      <c r="K851" s="10">
        <v>2.0444100000000001</v>
      </c>
      <c r="X851" s="10">
        <v>2.434255471698112</v>
      </c>
      <c r="Y851" s="10">
        <v>2.2459385365853648</v>
      </c>
      <c r="Z851" s="11" t="str">
        <f t="shared" si="13"/>
        <v/>
      </c>
    </row>
    <row r="852" spans="1:26" x14ac:dyDescent="0.3">
      <c r="A852" t="s">
        <v>851</v>
      </c>
      <c r="B852" t="s">
        <v>3174</v>
      </c>
      <c r="C852" t="s">
        <v>3175</v>
      </c>
      <c r="D852" t="s">
        <v>1015</v>
      </c>
      <c r="E852" t="s">
        <v>1027</v>
      </c>
      <c r="F852" t="s">
        <v>2039</v>
      </c>
      <c r="G852" t="s">
        <v>2732</v>
      </c>
      <c r="H852" s="13">
        <v>38591380</v>
      </c>
      <c r="I852" s="14">
        <v>6266094.5499999998</v>
      </c>
      <c r="J852" t="s">
        <v>1052</v>
      </c>
      <c r="K852" s="10">
        <v>6.3979999999999995E-2</v>
      </c>
      <c r="M852" s="10">
        <v>0.17959754716981141</v>
      </c>
      <c r="N852" s="10">
        <v>0.22107269230769219</v>
      </c>
      <c r="O852" s="10">
        <v>0.13562346153846161</v>
      </c>
      <c r="P852" s="10">
        <v>0.11040865384615391</v>
      </c>
      <c r="Q852" s="10">
        <v>9.7810000000000008E-2</v>
      </c>
      <c r="R852" s="10">
        <v>9.6242500000000022E-2</v>
      </c>
      <c r="S852" s="10">
        <v>0.10191377358490571</v>
      </c>
      <c r="T852" s="10">
        <v>0.10139961538461539</v>
      </c>
      <c r="U852" s="10">
        <v>9.2449230769230714E-2</v>
      </c>
      <c r="V852" s="10">
        <v>0.1001134615384616</v>
      </c>
      <c r="W852" s="10">
        <v>8.9335576923076906E-2</v>
      </c>
      <c r="X852" s="10">
        <v>7.3490188679245283E-2</v>
      </c>
      <c r="Y852" s="10">
        <v>6.7063414634146348E-2</v>
      </c>
      <c r="Z852" s="11">
        <f t="shared" si="13"/>
        <v>-0.23640607</v>
      </c>
    </row>
    <row r="853" spans="1:26" x14ac:dyDescent="0.3">
      <c r="A853" t="s">
        <v>852</v>
      </c>
      <c r="B853" t="s">
        <v>3176</v>
      </c>
      <c r="C853" t="s">
        <v>3177</v>
      </c>
      <c r="D853" t="s">
        <v>1014</v>
      </c>
      <c r="E853" t="s">
        <v>1020</v>
      </c>
      <c r="F853" t="s">
        <v>1114</v>
      </c>
      <c r="G853" t="s">
        <v>1782</v>
      </c>
      <c r="H853" s="13">
        <v>896486</v>
      </c>
      <c r="I853" s="14">
        <v>6246369.5300000003</v>
      </c>
      <c r="J853" t="s">
        <v>1052</v>
      </c>
      <c r="K853" s="10">
        <v>6.9428900000000002</v>
      </c>
      <c r="M853" s="10">
        <v>3.1227798113207541</v>
      </c>
      <c r="N853" s="10">
        <v>3.7478719230769251</v>
      </c>
      <c r="O853" s="10">
        <v>4.4848211538461547</v>
      </c>
      <c r="P853" s="10">
        <v>4.9973028846153804</v>
      </c>
      <c r="Q853" s="10">
        <v>5.1354638461538462</v>
      </c>
      <c r="R853" s="10">
        <v>5.3756244230769248</v>
      </c>
      <c r="S853" s="10">
        <v>5.656047924528302</v>
      </c>
      <c r="T853" s="10">
        <v>5.9336367307692264</v>
      </c>
      <c r="U853" s="10">
        <v>6.1284299999999989</v>
      </c>
      <c r="V853" s="10">
        <v>6.4322551923076938</v>
      </c>
      <c r="W853" s="10">
        <v>6.622323653846153</v>
      </c>
      <c r="X853" s="10">
        <v>6.7696069811320694</v>
      </c>
      <c r="Y853" s="10">
        <v>6.9441139024390246</v>
      </c>
      <c r="Z853" s="11">
        <f t="shared" si="13"/>
        <v>0.25931546999999999</v>
      </c>
    </row>
    <row r="854" spans="1:26" x14ac:dyDescent="0.3">
      <c r="A854" t="s">
        <v>853</v>
      </c>
      <c r="B854" t="s">
        <v>3178</v>
      </c>
      <c r="C854" t="s">
        <v>3179</v>
      </c>
      <c r="D854" t="s">
        <v>1014</v>
      </c>
      <c r="E854" t="s">
        <v>1022</v>
      </c>
      <c r="F854" t="s">
        <v>1106</v>
      </c>
      <c r="G854" t="s">
        <v>2571</v>
      </c>
      <c r="H854" s="13">
        <v>669914</v>
      </c>
      <c r="I854" s="14">
        <v>6241610.7599999998</v>
      </c>
      <c r="J854" t="s">
        <v>1052</v>
      </c>
      <c r="K854" s="10">
        <v>9.1289300000000004</v>
      </c>
      <c r="M854" s="10">
        <v>7.6166167924528274</v>
      </c>
      <c r="N854" s="10">
        <v>7.9967324999999967</v>
      </c>
      <c r="O854" s="10">
        <v>8.2511723076923058</v>
      </c>
      <c r="P854" s="10">
        <v>8.7298342307692263</v>
      </c>
      <c r="Q854" s="10">
        <v>8.6358238461538424</v>
      </c>
      <c r="R854" s="10">
        <v>8.6661532692307635</v>
      </c>
      <c r="S854" s="10">
        <v>8.9434350943396161</v>
      </c>
      <c r="T854" s="10">
        <v>9.1337694230769166</v>
      </c>
      <c r="U854" s="10">
        <v>9.169691538461537</v>
      </c>
      <c r="V854" s="10">
        <v>9.1731709615384585</v>
      </c>
      <c r="W854" s="10">
        <v>9.1664867307692308</v>
      </c>
      <c r="X854" s="10">
        <v>9.1618660377358481</v>
      </c>
      <c r="Y854" s="10">
        <v>9.1394431707317025</v>
      </c>
      <c r="Z854" s="11">
        <f t="shared" si="13"/>
        <v>5.7201019999999998E-2</v>
      </c>
    </row>
    <row r="855" spans="1:26" x14ac:dyDescent="0.3">
      <c r="A855" t="s">
        <v>854</v>
      </c>
      <c r="B855" t="s">
        <v>3180</v>
      </c>
      <c r="C855" t="s">
        <v>3181</v>
      </c>
      <c r="D855" t="s">
        <v>1014</v>
      </c>
      <c r="E855" t="s">
        <v>1023</v>
      </c>
      <c r="F855" t="s">
        <v>1050</v>
      </c>
      <c r="G855" t="s">
        <v>3182</v>
      </c>
      <c r="H855" s="13">
        <v>109403</v>
      </c>
      <c r="I855" s="14">
        <v>6236814.6399999997</v>
      </c>
      <c r="J855" t="s">
        <v>1052</v>
      </c>
      <c r="K855" s="10">
        <v>59.70975</v>
      </c>
      <c r="M855" s="10">
        <v>41.501640566037757</v>
      </c>
      <c r="N855" s="10">
        <v>43.914485227272749</v>
      </c>
      <c r="O855" s="10">
        <v>47.197118269230813</v>
      </c>
      <c r="P855" s="10">
        <v>50.080694615384608</v>
      </c>
      <c r="Q855" s="10">
        <v>54.022383461538432</v>
      </c>
      <c r="R855" s="10">
        <v>56.238064423076906</v>
      </c>
      <c r="S855" s="10">
        <v>59.607248301886798</v>
      </c>
      <c r="T855" s="10">
        <v>59.686369230769287</v>
      </c>
      <c r="U855" s="10">
        <v>59.60796153846151</v>
      </c>
      <c r="V855" s="10">
        <v>59.523935531914859</v>
      </c>
      <c r="W855" s="10">
        <v>59.562635384615369</v>
      </c>
      <c r="X855" s="10">
        <v>59.516911698113198</v>
      </c>
      <c r="Y855" s="10">
        <v>59.720029756097539</v>
      </c>
      <c r="Z855" s="11">
        <f t="shared" si="13"/>
        <v>5.8302989999999999E-2</v>
      </c>
    </row>
    <row r="856" spans="1:26" x14ac:dyDescent="0.3">
      <c r="A856" t="s">
        <v>855</v>
      </c>
      <c r="B856" t="s">
        <v>3183</v>
      </c>
      <c r="C856" t="s">
        <v>3184</v>
      </c>
      <c r="D856" t="s">
        <v>1015</v>
      </c>
      <c r="E856" t="s">
        <v>1027</v>
      </c>
      <c r="F856" t="s">
        <v>1610</v>
      </c>
      <c r="G856" t="s">
        <v>2884</v>
      </c>
      <c r="H856" s="13">
        <v>20355240</v>
      </c>
      <c r="I856" s="14">
        <v>6234304.2400000002</v>
      </c>
      <c r="J856" t="s">
        <v>1052</v>
      </c>
      <c r="K856" s="10">
        <v>7.8460000000000002E-2</v>
      </c>
      <c r="P856" s="10">
        <v>0.38963900000000001</v>
      </c>
      <c r="Q856" s="10">
        <v>0.32957038461538463</v>
      </c>
      <c r="R856" s="10">
        <v>0.25972134615384612</v>
      </c>
      <c r="S856" s="10">
        <v>0.19191113207547161</v>
      </c>
      <c r="T856" s="10">
        <v>0.1610978846153846</v>
      </c>
      <c r="U856" s="10">
        <v>0.124446923076923</v>
      </c>
      <c r="V856" s="10">
        <v>0.1027478846153846</v>
      </c>
      <c r="W856" s="10">
        <v>0.10641634615384619</v>
      </c>
      <c r="X856" s="10">
        <v>9.9138113207547174E-2</v>
      </c>
      <c r="Y856" s="10">
        <v>7.950634146341462E-2</v>
      </c>
      <c r="Z856" s="11">
        <f t="shared" si="13"/>
        <v>-0.61829047000000004</v>
      </c>
    </row>
    <row r="857" spans="1:26" x14ac:dyDescent="0.3">
      <c r="A857" t="s">
        <v>856</v>
      </c>
      <c r="B857" t="s">
        <v>3185</v>
      </c>
      <c r="C857" t="s">
        <v>3186</v>
      </c>
      <c r="D857" t="s">
        <v>1015</v>
      </c>
      <c r="E857" t="s">
        <v>1027</v>
      </c>
      <c r="F857" t="s">
        <v>2049</v>
      </c>
      <c r="G857" t="s">
        <v>3187</v>
      </c>
      <c r="H857" s="13">
        <v>3263333</v>
      </c>
      <c r="I857" s="14">
        <v>6220700.3300000001</v>
      </c>
      <c r="J857" t="s">
        <v>1052</v>
      </c>
      <c r="K857" s="10">
        <v>1.6923999999999999</v>
      </c>
      <c r="Q857" s="10">
        <v>4.5487582758620686</v>
      </c>
      <c r="R857" s="10">
        <v>4.0487444230769247</v>
      </c>
      <c r="S857" s="10">
        <v>3.7726522641509428</v>
      </c>
      <c r="T857" s="10">
        <v>1.79296846153846</v>
      </c>
      <c r="U857" s="10">
        <v>1.597547500000001</v>
      </c>
      <c r="V857" s="10">
        <v>1.666078269230769</v>
      </c>
      <c r="W857" s="10">
        <v>1.429775769230768</v>
      </c>
      <c r="X857" s="10">
        <v>1.589119245283019</v>
      </c>
      <c r="Y857" s="10">
        <v>1.9374400000000009</v>
      </c>
      <c r="Z857" s="11">
        <f t="shared" si="13"/>
        <v>-0.60750320000000002</v>
      </c>
    </row>
    <row r="858" spans="1:26" x14ac:dyDescent="0.3">
      <c r="A858" t="s">
        <v>857</v>
      </c>
      <c r="B858" t="s">
        <v>3188</v>
      </c>
      <c r="C858" t="s">
        <v>3189</v>
      </c>
      <c r="D858" t="s">
        <v>1014</v>
      </c>
      <c r="E858" t="s">
        <v>1024</v>
      </c>
      <c r="F858" t="s">
        <v>1068</v>
      </c>
      <c r="G858" t="s">
        <v>3190</v>
      </c>
      <c r="H858" s="13">
        <v>10838.035</v>
      </c>
      <c r="I858" s="14">
        <v>6219699.3200000003</v>
      </c>
      <c r="J858" t="s">
        <v>1061</v>
      </c>
      <c r="K858" s="10">
        <v>1038.69886</v>
      </c>
      <c r="M858" s="10">
        <v>816.7810473584899</v>
      </c>
      <c r="N858" s="10">
        <v>858.80449750000059</v>
      </c>
      <c r="O858" s="10">
        <v>891.40310576923127</v>
      </c>
      <c r="P858" s="10">
        <v>940.68439826923156</v>
      </c>
      <c r="Q858" s="10">
        <v>990.49448461538441</v>
      </c>
      <c r="R858" s="10">
        <v>1026.8891442307699</v>
      </c>
      <c r="W858" s="10">
        <v>1035.495114864864</v>
      </c>
      <c r="X858" s="10">
        <v>1036.128585660377</v>
      </c>
      <c r="Y858" s="10">
        <v>1036.47524804878</v>
      </c>
      <c r="Z858" s="11">
        <f t="shared" si="13"/>
        <v>8.9975100000000002E-3</v>
      </c>
    </row>
    <row r="859" spans="1:26" x14ac:dyDescent="0.3">
      <c r="A859" t="s">
        <v>858</v>
      </c>
      <c r="B859" t="s">
        <v>3191</v>
      </c>
      <c r="C859" t="s">
        <v>3192</v>
      </c>
      <c r="D859" t="s">
        <v>1014</v>
      </c>
      <c r="E859" t="s">
        <v>1020</v>
      </c>
      <c r="F859" t="s">
        <v>3193</v>
      </c>
      <c r="G859" t="s">
        <v>3194</v>
      </c>
      <c r="H859" s="13">
        <v>194317</v>
      </c>
      <c r="I859" s="14">
        <v>6201829.54</v>
      </c>
      <c r="J859" t="s">
        <v>1052</v>
      </c>
      <c r="K859" s="10">
        <v>31.836169999999999</v>
      </c>
      <c r="N859" s="10">
        <v>14.732915192307701</v>
      </c>
      <c r="O859" s="10">
        <v>17.485562307692309</v>
      </c>
      <c r="P859" s="10">
        <v>18.93741249999999</v>
      </c>
      <c r="Q859" s="10">
        <v>20.926291730769229</v>
      </c>
      <c r="R859" s="10">
        <v>22.972842307692311</v>
      </c>
      <c r="S859" s="10">
        <v>24.85505339622642</v>
      </c>
      <c r="T859" s="10">
        <v>26.377907692307701</v>
      </c>
      <c r="U859" s="10">
        <v>27.717591153846179</v>
      </c>
      <c r="V859" s="10">
        <v>28.564184615384629</v>
      </c>
      <c r="W859" s="10">
        <v>29.763940961538459</v>
      </c>
      <c r="X859" s="10">
        <v>31.218709056603771</v>
      </c>
      <c r="Y859" s="10">
        <v>31.832136097560959</v>
      </c>
      <c r="Z859" s="11">
        <f t="shared" si="13"/>
        <v>0.35893976999999999</v>
      </c>
    </row>
    <row r="860" spans="1:26" x14ac:dyDescent="0.3">
      <c r="A860" t="s">
        <v>859</v>
      </c>
      <c r="B860" t="s">
        <v>3195</v>
      </c>
      <c r="C860" t="s">
        <v>3196</v>
      </c>
      <c r="D860" t="s">
        <v>1015</v>
      </c>
      <c r="E860" t="s">
        <v>1022</v>
      </c>
      <c r="F860" t="s">
        <v>2844</v>
      </c>
      <c r="G860" t="s">
        <v>3197</v>
      </c>
      <c r="H860" s="13">
        <v>496484</v>
      </c>
      <c r="I860" s="14">
        <v>6195264.46</v>
      </c>
      <c r="J860" t="s">
        <v>1052</v>
      </c>
      <c r="K860" s="10">
        <v>0.61897000000000002</v>
      </c>
      <c r="X860" s="10">
        <v>7.5622254166666636</v>
      </c>
      <c r="Y860" s="10">
        <v>0.6959012195121953</v>
      </c>
      <c r="Z860" s="11" t="str">
        <f t="shared" si="13"/>
        <v/>
      </c>
    </row>
    <row r="861" spans="1:26" x14ac:dyDescent="0.3">
      <c r="A861" t="s">
        <v>860</v>
      </c>
      <c r="B861" t="s">
        <v>3198</v>
      </c>
      <c r="C861" t="s">
        <v>3184</v>
      </c>
      <c r="D861" t="s">
        <v>1015</v>
      </c>
      <c r="E861" t="s">
        <v>1027</v>
      </c>
      <c r="F861" t="s">
        <v>2234</v>
      </c>
      <c r="G861" t="s">
        <v>2884</v>
      </c>
      <c r="H861" s="13">
        <v>21373519.699999999</v>
      </c>
      <c r="I861" s="14">
        <v>6191932.2000000002</v>
      </c>
      <c r="J861" t="s">
        <v>1052</v>
      </c>
      <c r="K861" s="10">
        <v>7.8460000000000002E-2</v>
      </c>
      <c r="V861" s="10">
        <v>0.1027478846153846</v>
      </c>
      <c r="W861" s="10">
        <v>0.10641634615384619</v>
      </c>
      <c r="X861" s="10">
        <v>9.9138113207547174E-2</v>
      </c>
      <c r="Y861" s="10">
        <v>7.950634146341462E-2</v>
      </c>
      <c r="Z861" s="11" t="str">
        <f t="shared" si="13"/>
        <v/>
      </c>
    </row>
    <row r="862" spans="1:26" x14ac:dyDescent="0.3">
      <c r="A862" t="s">
        <v>861</v>
      </c>
      <c r="B862" t="s">
        <v>3199</v>
      </c>
      <c r="C862" t="s">
        <v>2850</v>
      </c>
      <c r="D862" t="s">
        <v>1015</v>
      </c>
      <c r="E862" t="s">
        <v>1027</v>
      </c>
      <c r="F862" t="s">
        <v>2052</v>
      </c>
      <c r="G862" t="s">
        <v>2851</v>
      </c>
      <c r="H862" s="13">
        <v>24635076.103999998</v>
      </c>
      <c r="I862" s="14">
        <v>6183894.4699999997</v>
      </c>
      <c r="J862" t="s">
        <v>1052</v>
      </c>
      <c r="K862" s="10">
        <v>3.074E-2</v>
      </c>
      <c r="Q862" s="10">
        <v>4.5685897435897453E-2</v>
      </c>
      <c r="R862" s="10">
        <v>4.5885961538461577E-2</v>
      </c>
      <c r="S862" s="10">
        <v>4.3344150943396241E-2</v>
      </c>
      <c r="T862" s="10">
        <v>4.070846153846152E-2</v>
      </c>
      <c r="U862" s="10">
        <v>3.6930769230769218E-2</v>
      </c>
      <c r="V862" s="10">
        <v>3.5115384615384611E-2</v>
      </c>
      <c r="W862" s="10">
        <v>3.311769230769232E-2</v>
      </c>
      <c r="X862" s="10">
        <v>3.4253584905660363E-2</v>
      </c>
      <c r="Y862" s="10">
        <v>3.2825365853658528E-2</v>
      </c>
      <c r="Z862" s="11">
        <f t="shared" si="13"/>
        <v>-0.25350622</v>
      </c>
    </row>
    <row r="863" spans="1:26" x14ac:dyDescent="0.3">
      <c r="A863" t="s">
        <v>862</v>
      </c>
      <c r="B863" t="s">
        <v>3200</v>
      </c>
      <c r="C863" t="s">
        <v>2679</v>
      </c>
      <c r="D863" t="s">
        <v>1015</v>
      </c>
      <c r="E863" t="s">
        <v>1030</v>
      </c>
      <c r="F863" t="s">
        <v>1941</v>
      </c>
      <c r="G863" t="s">
        <v>2201</v>
      </c>
      <c r="H863" s="13">
        <v>76258416.060000002</v>
      </c>
      <c r="I863" s="14">
        <v>6181011.5899999999</v>
      </c>
      <c r="J863" t="s">
        <v>1061</v>
      </c>
      <c r="K863" s="10">
        <v>4.4119999999999999E-2</v>
      </c>
      <c r="M863" s="10">
        <v>4.5513207547169809E-2</v>
      </c>
      <c r="N863" s="10">
        <v>4.7374807692307702E-2</v>
      </c>
      <c r="O863" s="10">
        <v>4.2699807692307697E-2</v>
      </c>
      <c r="P863" s="10">
        <v>4.3475384615384631E-2</v>
      </c>
      <c r="Q863" s="10">
        <v>4.5939807692307683E-2</v>
      </c>
      <c r="R863" s="10">
        <v>4.1157692307692291E-2</v>
      </c>
      <c r="S863" s="10">
        <v>3.8529999999999988E-2</v>
      </c>
      <c r="T863" s="10">
        <v>3.7934807692307719E-2</v>
      </c>
      <c r="U863" s="10">
        <v>3.8255961538461551E-2</v>
      </c>
      <c r="V863" s="10">
        <v>4.0720192307692318E-2</v>
      </c>
      <c r="W863" s="10">
        <v>3.7720576923076919E-2</v>
      </c>
      <c r="X863" s="10">
        <v>4.0032452830188678E-2</v>
      </c>
      <c r="Y863" s="10">
        <v>4.265487804878048E-2</v>
      </c>
      <c r="Z863" s="11">
        <f t="shared" si="13"/>
        <v>-2.733971E-2</v>
      </c>
    </row>
    <row r="864" spans="1:26" x14ac:dyDescent="0.3">
      <c r="A864" t="s">
        <v>863</v>
      </c>
      <c r="B864" t="s">
        <v>3201</v>
      </c>
      <c r="C864" t="s">
        <v>3202</v>
      </c>
      <c r="D864" t="s">
        <v>1014</v>
      </c>
      <c r="E864" t="s">
        <v>1019</v>
      </c>
      <c r="F864" t="s">
        <v>1990</v>
      </c>
      <c r="G864" t="s">
        <v>1991</v>
      </c>
      <c r="H864" s="13">
        <v>3889</v>
      </c>
      <c r="I864" s="14">
        <v>6171028.3899999997</v>
      </c>
      <c r="J864" t="s">
        <v>1061</v>
      </c>
      <c r="K864" s="10">
        <v>1603.18226</v>
      </c>
      <c r="U864" s="10">
        <v>1427.39</v>
      </c>
      <c r="V864" s="10">
        <v>1466.220746153846</v>
      </c>
      <c r="W864" s="10">
        <v>1513.973044999999</v>
      </c>
      <c r="X864" s="10">
        <v>1552.026740188679</v>
      </c>
      <c r="Y864" s="10">
        <v>1598.1694709756091</v>
      </c>
      <c r="Z864" s="11" t="str">
        <f t="shared" si="13"/>
        <v/>
      </c>
    </row>
    <row r="865" spans="1:26" x14ac:dyDescent="0.3">
      <c r="A865" t="s">
        <v>864</v>
      </c>
      <c r="B865" t="s">
        <v>3203</v>
      </c>
      <c r="C865" t="s">
        <v>3204</v>
      </c>
      <c r="D865" t="s">
        <v>1014</v>
      </c>
      <c r="E865" t="s">
        <v>1019</v>
      </c>
      <c r="F865" t="s">
        <v>1081</v>
      </c>
      <c r="G865" t="s">
        <v>1873</v>
      </c>
      <c r="H865" s="13">
        <v>298469</v>
      </c>
      <c r="I865" s="14">
        <v>6170669.8799999999</v>
      </c>
      <c r="J865" t="s">
        <v>1052</v>
      </c>
      <c r="K865" s="10">
        <v>11.218629999999999</v>
      </c>
      <c r="Q865" s="10">
        <v>14.90502</v>
      </c>
      <c r="R865" s="10">
        <v>15.777288461538459</v>
      </c>
      <c r="S865" s="10">
        <v>16.705420566037731</v>
      </c>
      <c r="T865" s="10">
        <v>17.52563846153846</v>
      </c>
      <c r="U865" s="10">
        <v>18.186426923076951</v>
      </c>
      <c r="V865" s="10">
        <v>18.947268846153861</v>
      </c>
      <c r="W865" s="10">
        <v>19.530989999999999</v>
      </c>
      <c r="X865" s="10">
        <v>20.138827735849048</v>
      </c>
      <c r="Y865" s="10">
        <v>11.21393902439025</v>
      </c>
      <c r="Z865" s="11">
        <f t="shared" si="13"/>
        <v>0.27644415999999999</v>
      </c>
    </row>
    <row r="866" spans="1:26" x14ac:dyDescent="0.3">
      <c r="A866" t="s">
        <v>865</v>
      </c>
      <c r="B866" t="s">
        <v>3205</v>
      </c>
      <c r="C866" t="s">
        <v>3206</v>
      </c>
      <c r="D866" t="s">
        <v>1015</v>
      </c>
      <c r="E866" t="s">
        <v>1019</v>
      </c>
      <c r="F866" t="s">
        <v>1918</v>
      </c>
      <c r="G866" t="s">
        <v>1919</v>
      </c>
      <c r="H866" s="13">
        <v>992056.06</v>
      </c>
      <c r="I866" s="14">
        <v>6142043.0899999999</v>
      </c>
      <c r="J866" t="s">
        <v>1061</v>
      </c>
      <c r="K866" s="10">
        <v>6.0810500000000003</v>
      </c>
      <c r="W866" s="10">
        <v>6.090359019607841</v>
      </c>
      <c r="X866" s="10">
        <v>6.0911305660377364</v>
      </c>
      <c r="Y866" s="10">
        <v>6.0948390243902466</v>
      </c>
      <c r="Z866" s="11" t="str">
        <f t="shared" si="13"/>
        <v/>
      </c>
    </row>
    <row r="867" spans="1:26" x14ac:dyDescent="0.3">
      <c r="A867" t="s">
        <v>866</v>
      </c>
      <c r="B867" t="s">
        <v>3207</v>
      </c>
      <c r="C867" t="s">
        <v>2417</v>
      </c>
      <c r="D867" t="s">
        <v>1015</v>
      </c>
      <c r="E867" t="s">
        <v>1027</v>
      </c>
      <c r="F867" t="s">
        <v>2418</v>
      </c>
      <c r="G867" t="s">
        <v>2419</v>
      </c>
      <c r="H867" s="13">
        <v>1596369.5</v>
      </c>
      <c r="I867" s="14">
        <v>6132963.4500000002</v>
      </c>
      <c r="J867" t="s">
        <v>1061</v>
      </c>
      <c r="K867" s="10">
        <v>3.7885300000000002</v>
      </c>
      <c r="X867" s="10">
        <v>3.738866521739129</v>
      </c>
      <c r="Y867" s="10">
        <v>3.4883812195121968</v>
      </c>
      <c r="Z867" s="11" t="str">
        <f t="shared" si="13"/>
        <v/>
      </c>
    </row>
    <row r="868" spans="1:26" x14ac:dyDescent="0.3">
      <c r="A868" t="s">
        <v>867</v>
      </c>
      <c r="B868" t="s">
        <v>3208</v>
      </c>
      <c r="C868" t="s">
        <v>2271</v>
      </c>
      <c r="D868" t="s">
        <v>1015</v>
      </c>
      <c r="E868" t="s">
        <v>1022</v>
      </c>
      <c r="F868" t="s">
        <v>1608</v>
      </c>
      <c r="G868" t="s">
        <v>2040</v>
      </c>
      <c r="H868" s="13">
        <v>381927.55099999998</v>
      </c>
      <c r="I868" s="14">
        <v>6130708.5700000003</v>
      </c>
      <c r="J868" t="s">
        <v>1061</v>
      </c>
      <c r="K868" s="10">
        <v>0.17588000000000001</v>
      </c>
      <c r="M868" s="10">
        <v>0.32519113207547179</v>
      </c>
      <c r="N868" s="10">
        <v>0.25912346153846139</v>
      </c>
      <c r="O868" s="10">
        <v>0.23920442307692311</v>
      </c>
      <c r="P868" s="10">
        <v>0.21185923076923069</v>
      </c>
      <c r="Q868" s="10">
        <v>0.2374594285714286</v>
      </c>
      <c r="R868" s="10">
        <v>0.23839538461538451</v>
      </c>
      <c r="S868" s="10">
        <v>0.2344</v>
      </c>
      <c r="T868" s="10">
        <v>0.17019999999999991</v>
      </c>
      <c r="U868" s="10">
        <v>0.19470615384615381</v>
      </c>
      <c r="V868" s="10">
        <v>0.2339344230769233</v>
      </c>
      <c r="W868" s="10">
        <v>0.19962384615384621</v>
      </c>
      <c r="X868" s="10">
        <v>0.20490622641509429</v>
      </c>
      <c r="Y868" s="10">
        <v>0.18463268292682919</v>
      </c>
      <c r="Z868" s="11">
        <f t="shared" si="13"/>
        <v>-0.14047738000000001</v>
      </c>
    </row>
    <row r="869" spans="1:26" x14ac:dyDescent="0.3">
      <c r="A869" t="s">
        <v>868</v>
      </c>
      <c r="B869" t="s">
        <v>3209</v>
      </c>
      <c r="C869" t="s">
        <v>3210</v>
      </c>
      <c r="D869" t="s">
        <v>1015</v>
      </c>
      <c r="E869" t="s">
        <v>1026</v>
      </c>
      <c r="F869" t="s">
        <v>1382</v>
      </c>
      <c r="G869" t="s">
        <v>3211</v>
      </c>
      <c r="H869" s="13">
        <v>12981557.886</v>
      </c>
      <c r="I869" s="14">
        <v>6118166.9400000004</v>
      </c>
      <c r="J869" t="s">
        <v>1052</v>
      </c>
      <c r="K869" s="10">
        <v>0.10426000000000001</v>
      </c>
      <c r="M869" s="10">
        <v>0.47421169811320762</v>
      </c>
      <c r="N869" s="10">
        <v>0.44634519230769248</v>
      </c>
      <c r="O869" s="10">
        <v>0.42386673076923082</v>
      </c>
      <c r="P869" s="10">
        <v>0.33836634615384642</v>
      </c>
      <c r="Q869" s="10">
        <v>0.2501317307692309</v>
      </c>
      <c r="R869" s="10">
        <v>0.1820428846153847</v>
      </c>
      <c r="S869" s="10">
        <v>0.16968735849056599</v>
      </c>
      <c r="T869" s="10">
        <v>0.15411942307692311</v>
      </c>
      <c r="U869" s="10">
        <v>0.14843903846153839</v>
      </c>
      <c r="V869" s="10">
        <v>0.1317332692307692</v>
      </c>
      <c r="W869" s="10">
        <v>0.1094459615384616</v>
      </c>
      <c r="X869" s="10">
        <v>0.1041862264150944</v>
      </c>
      <c r="Y869" s="10">
        <v>0.1013629268292683</v>
      </c>
      <c r="Z869" s="11">
        <f t="shared" si="13"/>
        <v>-0.42768306</v>
      </c>
    </row>
    <row r="870" spans="1:26" x14ac:dyDescent="0.3">
      <c r="A870" t="s">
        <v>869</v>
      </c>
      <c r="B870" t="s">
        <v>3212</v>
      </c>
      <c r="C870" t="s">
        <v>3213</v>
      </c>
      <c r="D870" t="s">
        <v>1014</v>
      </c>
      <c r="E870" t="s">
        <v>1020</v>
      </c>
      <c r="F870" t="s">
        <v>1114</v>
      </c>
      <c r="G870" t="s">
        <v>3214</v>
      </c>
      <c r="H870" s="13">
        <v>708369</v>
      </c>
      <c r="I870" s="14">
        <v>6117617.1799999997</v>
      </c>
      <c r="J870" t="s">
        <v>1052</v>
      </c>
      <c r="K870" s="10">
        <v>8.6771799999999999</v>
      </c>
      <c r="M870" s="10">
        <v>3.8394207547169841</v>
      </c>
      <c r="N870" s="10">
        <v>4.5316900000000029</v>
      </c>
      <c r="O870" s="10">
        <v>5.4072734615384634</v>
      </c>
      <c r="P870" s="10">
        <v>6.1181448076923122</v>
      </c>
      <c r="Q870" s="10">
        <v>6.2944517307692349</v>
      </c>
      <c r="R870" s="10">
        <v>6.597185192307693</v>
      </c>
      <c r="S870" s="10">
        <v>6.9368567924528328</v>
      </c>
      <c r="T870" s="10">
        <v>7.2950634615384677</v>
      </c>
      <c r="U870" s="10">
        <v>7.6676200000000003</v>
      </c>
      <c r="V870" s="10">
        <v>8.0463609615384541</v>
      </c>
      <c r="W870" s="10">
        <v>8.2823486538461548</v>
      </c>
      <c r="X870" s="10">
        <v>8.4695047169811382</v>
      </c>
      <c r="Y870" s="10">
        <v>8.6817056097561007</v>
      </c>
      <c r="Z870" s="11">
        <f t="shared" si="13"/>
        <v>0.28380581999999999</v>
      </c>
    </row>
    <row r="871" spans="1:26" x14ac:dyDescent="0.3">
      <c r="A871" t="s">
        <v>870</v>
      </c>
      <c r="B871" t="s">
        <v>3215</v>
      </c>
      <c r="C871" t="s">
        <v>3216</v>
      </c>
      <c r="D871" t="s">
        <v>1015</v>
      </c>
      <c r="E871" t="s">
        <v>1019</v>
      </c>
      <c r="F871" t="s">
        <v>1064</v>
      </c>
      <c r="G871" t="s">
        <v>3126</v>
      </c>
      <c r="H871" s="13">
        <v>525862</v>
      </c>
      <c r="I871" s="14">
        <v>6114414.0300000003</v>
      </c>
      <c r="J871" t="s">
        <v>1061</v>
      </c>
      <c r="K871" s="10">
        <v>11.39045</v>
      </c>
      <c r="V871" s="10">
        <v>11.363899999999999</v>
      </c>
      <c r="W871" s="10">
        <v>11.379981153846151</v>
      </c>
      <c r="X871" s="10">
        <v>11.37375094339623</v>
      </c>
      <c r="Y871" s="10">
        <v>11.383547073170719</v>
      </c>
      <c r="Z871" s="11" t="str">
        <f t="shared" si="13"/>
        <v/>
      </c>
    </row>
    <row r="872" spans="1:26" x14ac:dyDescent="0.3">
      <c r="A872" t="s">
        <v>871</v>
      </c>
      <c r="B872" t="s">
        <v>3217</v>
      </c>
      <c r="C872" t="s">
        <v>3218</v>
      </c>
      <c r="D872" t="s">
        <v>1014</v>
      </c>
      <c r="E872" t="s">
        <v>1027</v>
      </c>
      <c r="F872" t="s">
        <v>1096</v>
      </c>
      <c r="G872" t="s">
        <v>3219</v>
      </c>
      <c r="H872" s="13">
        <v>2021854.5</v>
      </c>
      <c r="I872" s="14">
        <v>6113866.4299999997</v>
      </c>
      <c r="J872" t="s">
        <v>1052</v>
      </c>
      <c r="K872" s="10">
        <v>3.03973</v>
      </c>
      <c r="M872" s="10">
        <v>1.443809245283018</v>
      </c>
      <c r="N872" s="10">
        <v>1.6709494230769231</v>
      </c>
      <c r="O872" s="10">
        <v>1.906787884615385</v>
      </c>
      <c r="P872" s="10">
        <v>2.133031346153845</v>
      </c>
      <c r="Q872" s="10">
        <v>2.28265653846154</v>
      </c>
      <c r="R872" s="10">
        <v>2.4243855769230782</v>
      </c>
      <c r="S872" s="10">
        <v>2.42662037735849</v>
      </c>
      <c r="T872" s="10">
        <v>2.4334961538461548</v>
      </c>
      <c r="U872" s="10">
        <v>2.487190384615384</v>
      </c>
      <c r="V872" s="10">
        <v>2.8071744230769222</v>
      </c>
      <c r="W872" s="10">
        <v>2.890285576923076</v>
      </c>
      <c r="X872" s="10">
        <v>2.9560294339622639</v>
      </c>
      <c r="Y872" s="10">
        <v>3.0384529268292679</v>
      </c>
      <c r="Z872" s="11">
        <f t="shared" si="13"/>
        <v>0.21929013999999999</v>
      </c>
    </row>
    <row r="873" spans="1:26" x14ac:dyDescent="0.3">
      <c r="A873" t="s">
        <v>872</v>
      </c>
      <c r="B873" t="s">
        <v>3220</v>
      </c>
      <c r="C873" t="s">
        <v>3221</v>
      </c>
      <c r="D873" t="s">
        <v>1015</v>
      </c>
      <c r="E873" t="s">
        <v>1027</v>
      </c>
      <c r="F873" t="s">
        <v>2108</v>
      </c>
      <c r="G873" t="s">
        <v>3141</v>
      </c>
      <c r="H873" s="13">
        <v>4801972.5</v>
      </c>
      <c r="I873" s="14">
        <v>6112329.5999999996</v>
      </c>
      <c r="J873" t="s">
        <v>1052</v>
      </c>
      <c r="K873" s="10">
        <v>0.96891000000000005</v>
      </c>
      <c r="P873" s="10">
        <v>2.0652425000000001</v>
      </c>
      <c r="Q873" s="10">
        <v>1.910136153846155</v>
      </c>
      <c r="R873" s="10">
        <v>1.575055384615385</v>
      </c>
      <c r="S873" s="10">
        <v>1.548724150943396</v>
      </c>
      <c r="T873" s="10">
        <v>1.4239536538461539</v>
      </c>
      <c r="U873" s="10">
        <v>1.373329615384616</v>
      </c>
      <c r="V873" s="10">
        <v>1.331429807692307</v>
      </c>
      <c r="W873" s="10">
        <v>1.2798765384615389</v>
      </c>
      <c r="X873" s="10">
        <v>1.0241284905660379</v>
      </c>
      <c r="Y873" s="10">
        <v>1.009977317073171</v>
      </c>
      <c r="Z873" s="11">
        <f t="shared" si="13"/>
        <v>-0.34978255000000003</v>
      </c>
    </row>
    <row r="874" spans="1:26" x14ac:dyDescent="0.3">
      <c r="A874" t="s">
        <v>873</v>
      </c>
      <c r="B874" t="s">
        <v>3222</v>
      </c>
      <c r="C874" t="s">
        <v>3223</v>
      </c>
      <c r="D874" t="s">
        <v>1015</v>
      </c>
      <c r="E874" t="s">
        <v>1030</v>
      </c>
      <c r="F874" t="s">
        <v>2234</v>
      </c>
      <c r="G874" t="s">
        <v>3224</v>
      </c>
      <c r="H874" s="13">
        <v>452634</v>
      </c>
      <c r="I874" s="14">
        <v>6111004.5499999998</v>
      </c>
      <c r="J874" t="s">
        <v>1052</v>
      </c>
      <c r="K874" s="10">
        <v>2.5208400000000002</v>
      </c>
      <c r="Y874" s="10">
        <v>2.6228926829268309</v>
      </c>
      <c r="Z874" s="11" t="str">
        <f t="shared" si="13"/>
        <v/>
      </c>
    </row>
    <row r="875" spans="1:26" x14ac:dyDescent="0.3">
      <c r="A875" t="s">
        <v>874</v>
      </c>
      <c r="B875" t="s">
        <v>3225</v>
      </c>
      <c r="C875" t="s">
        <v>2568</v>
      </c>
      <c r="D875" t="s">
        <v>1015</v>
      </c>
      <c r="E875" t="s">
        <v>1032</v>
      </c>
      <c r="F875" t="s">
        <v>2790</v>
      </c>
      <c r="G875" t="s">
        <v>2172</v>
      </c>
      <c r="H875" s="13">
        <v>34690387</v>
      </c>
      <c r="I875" s="14">
        <v>6110331.04</v>
      </c>
      <c r="J875" t="s">
        <v>1052</v>
      </c>
      <c r="K875" s="10">
        <v>6.1280000000000001E-2</v>
      </c>
      <c r="U875" s="10">
        <v>7.0019259259259281E-2</v>
      </c>
      <c r="V875" s="10">
        <v>6.7502499999999979E-2</v>
      </c>
      <c r="W875" s="10">
        <v>6.244269230769231E-2</v>
      </c>
      <c r="X875" s="10">
        <v>6.4172452830188687E-2</v>
      </c>
      <c r="Y875" s="10">
        <v>6.3718048780487799E-2</v>
      </c>
      <c r="Z875" s="11" t="str">
        <f t="shared" si="13"/>
        <v/>
      </c>
    </row>
    <row r="876" spans="1:26" x14ac:dyDescent="0.3">
      <c r="A876" t="s">
        <v>875</v>
      </c>
      <c r="B876" t="s">
        <v>3226</v>
      </c>
      <c r="C876" t="s">
        <v>1355</v>
      </c>
      <c r="D876" t="s">
        <v>1014</v>
      </c>
      <c r="E876" t="s">
        <v>1019</v>
      </c>
      <c r="F876" t="s">
        <v>1106</v>
      </c>
      <c r="G876" t="s">
        <v>1107</v>
      </c>
      <c r="H876" s="13">
        <v>316184</v>
      </c>
      <c r="I876" s="14">
        <v>6096905.8499999996</v>
      </c>
      <c r="J876" t="s">
        <v>1052</v>
      </c>
      <c r="K876" s="10">
        <v>12.07577</v>
      </c>
      <c r="W876" s="10">
        <v>18.62471681818181</v>
      </c>
      <c r="X876" s="10">
        <v>19.151347358490561</v>
      </c>
      <c r="Y876" s="10">
        <v>12.24713609756097</v>
      </c>
      <c r="Z876" s="11" t="str">
        <f t="shared" si="13"/>
        <v/>
      </c>
    </row>
    <row r="877" spans="1:26" x14ac:dyDescent="0.3">
      <c r="A877" t="s">
        <v>876</v>
      </c>
      <c r="B877" t="s">
        <v>3227</v>
      </c>
      <c r="C877" t="s">
        <v>2107</v>
      </c>
      <c r="D877" t="s">
        <v>1015</v>
      </c>
      <c r="E877" t="s">
        <v>1026</v>
      </c>
      <c r="F877" t="s">
        <v>2043</v>
      </c>
      <c r="G877" t="s">
        <v>2109</v>
      </c>
      <c r="H877" s="13">
        <v>6047301</v>
      </c>
      <c r="I877" s="14">
        <v>6093475.7999999998</v>
      </c>
      <c r="J877" t="s">
        <v>1052</v>
      </c>
      <c r="K877" s="10">
        <v>0.28384999999999999</v>
      </c>
      <c r="M877" s="10">
        <v>0.55322811320754728</v>
      </c>
      <c r="N877" s="10">
        <v>0.47975807692307681</v>
      </c>
      <c r="O877" s="10">
        <v>0.4929330769230767</v>
      </c>
      <c r="P877" s="10">
        <v>0.4014590384615383</v>
      </c>
      <c r="Q877" s="10">
        <v>0.34927846153846148</v>
      </c>
      <c r="R877" s="10">
        <v>0.31243288461538471</v>
      </c>
      <c r="S877" s="10">
        <v>0.33842433962264162</v>
      </c>
      <c r="T877" s="10">
        <v>0.29298557692307692</v>
      </c>
      <c r="U877" s="10">
        <v>0.30404153846153847</v>
      </c>
      <c r="V877" s="10">
        <v>0.32913865384615387</v>
      </c>
      <c r="W877" s="10">
        <v>0.3014873076923078</v>
      </c>
      <c r="X877" s="10">
        <v>0.30459999999999998</v>
      </c>
      <c r="Y877" s="10">
        <v>0.28095048780487802</v>
      </c>
      <c r="Z877" s="11">
        <f t="shared" si="13"/>
        <v>-2.5070619999999998E-2</v>
      </c>
    </row>
    <row r="878" spans="1:26" x14ac:dyDescent="0.3">
      <c r="A878" t="s">
        <v>877</v>
      </c>
      <c r="B878" t="s">
        <v>3228</v>
      </c>
      <c r="C878" t="s">
        <v>3229</v>
      </c>
      <c r="D878" t="s">
        <v>1014</v>
      </c>
      <c r="E878" t="s">
        <v>1030</v>
      </c>
      <c r="F878" t="s">
        <v>3230</v>
      </c>
      <c r="G878" t="s">
        <v>3231</v>
      </c>
      <c r="H878" s="13">
        <v>77119.199999999997</v>
      </c>
      <c r="I878" s="14">
        <v>6090385.0700000003</v>
      </c>
      <c r="J878" t="s">
        <v>1061</v>
      </c>
      <c r="K878" s="10">
        <v>79.628129999999999</v>
      </c>
      <c r="U878" s="10">
        <v>67.74127</v>
      </c>
      <c r="V878" s="10">
        <v>72.313281538461439</v>
      </c>
      <c r="W878" s="10">
        <v>75.961670769230807</v>
      </c>
      <c r="X878" s="10">
        <v>78.049745094339571</v>
      </c>
      <c r="Y878" s="10">
        <v>79.594751463414639</v>
      </c>
      <c r="Z878" s="11" t="str">
        <f t="shared" si="13"/>
        <v/>
      </c>
    </row>
    <row r="879" spans="1:26" x14ac:dyDescent="0.3">
      <c r="A879" t="s">
        <v>878</v>
      </c>
      <c r="B879" t="s">
        <v>3232</v>
      </c>
      <c r="C879" t="s">
        <v>3233</v>
      </c>
      <c r="D879" t="s">
        <v>1015</v>
      </c>
      <c r="E879" t="s">
        <v>1027</v>
      </c>
      <c r="F879" t="s">
        <v>2806</v>
      </c>
      <c r="G879" t="s">
        <v>3234</v>
      </c>
      <c r="H879" s="13">
        <v>50043305.950000003</v>
      </c>
      <c r="I879" s="14">
        <v>6082148.4100000001</v>
      </c>
      <c r="J879" t="s">
        <v>1052</v>
      </c>
      <c r="K879" s="10">
        <v>2.7949999999999999E-2</v>
      </c>
      <c r="S879" s="10">
        <v>4.4984390243902453E-2</v>
      </c>
      <c r="T879" s="10">
        <v>4.0024615384615367E-2</v>
      </c>
      <c r="U879" s="10">
        <v>3.9533076923076942E-2</v>
      </c>
      <c r="V879" s="10">
        <v>3.5857115384615362E-2</v>
      </c>
      <c r="W879" s="10">
        <v>3.2022499999999982E-2</v>
      </c>
      <c r="X879" s="10">
        <v>3.107018867924528E-2</v>
      </c>
      <c r="Y879" s="10">
        <v>2.9050243902439009E-2</v>
      </c>
      <c r="Z879" s="11" t="str">
        <f t="shared" si="13"/>
        <v/>
      </c>
    </row>
    <row r="880" spans="1:26" x14ac:dyDescent="0.3">
      <c r="A880" t="s">
        <v>879</v>
      </c>
      <c r="B880" t="s">
        <v>3235</v>
      </c>
      <c r="C880" t="s">
        <v>3236</v>
      </c>
      <c r="D880" t="s">
        <v>1014</v>
      </c>
      <c r="E880" t="s">
        <v>1027</v>
      </c>
      <c r="F880" t="s">
        <v>1055</v>
      </c>
      <c r="G880" t="s">
        <v>1302</v>
      </c>
      <c r="H880" s="13">
        <v>164488</v>
      </c>
      <c r="I880" s="14">
        <v>6070990.9400000004</v>
      </c>
      <c r="J880" t="s">
        <v>1052</v>
      </c>
      <c r="K880" s="10">
        <v>38.358319999999999</v>
      </c>
      <c r="U880" s="10">
        <v>31.821069999999981</v>
      </c>
      <c r="V880" s="10">
        <v>33.337497499999976</v>
      </c>
      <c r="W880" s="10">
        <v>34.875155961538447</v>
      </c>
      <c r="X880" s="10">
        <v>36.583620754717003</v>
      </c>
      <c r="Y880" s="10">
        <v>38.337272682926837</v>
      </c>
      <c r="Z880" s="11" t="str">
        <f t="shared" si="13"/>
        <v/>
      </c>
    </row>
    <row r="881" spans="1:26" x14ac:dyDescent="0.3">
      <c r="A881" t="s">
        <v>880</v>
      </c>
      <c r="B881" t="s">
        <v>3237</v>
      </c>
      <c r="C881" t="s">
        <v>3238</v>
      </c>
      <c r="D881" t="s">
        <v>1015</v>
      </c>
      <c r="E881" t="s">
        <v>1022</v>
      </c>
      <c r="F881" t="s">
        <v>2309</v>
      </c>
      <c r="G881" t="s">
        <v>3239</v>
      </c>
      <c r="H881" s="13">
        <v>1364051</v>
      </c>
      <c r="I881" s="14">
        <v>6055986.3200000003</v>
      </c>
      <c r="J881" t="s">
        <v>1052</v>
      </c>
      <c r="K881" s="10">
        <v>3.7068599999999998</v>
      </c>
      <c r="V881" s="10">
        <v>7.0473231250000019</v>
      </c>
      <c r="W881" s="10">
        <v>5.587056538461538</v>
      </c>
      <c r="X881" s="10">
        <v>4.6514447169811302</v>
      </c>
      <c r="Y881" s="10">
        <v>3.9795578048780502</v>
      </c>
      <c r="Z881" s="11" t="str">
        <f t="shared" si="13"/>
        <v/>
      </c>
    </row>
    <row r="882" spans="1:26" x14ac:dyDescent="0.3">
      <c r="A882" t="s">
        <v>881</v>
      </c>
      <c r="B882" t="s">
        <v>3240</v>
      </c>
      <c r="C882" t="s">
        <v>3241</v>
      </c>
      <c r="D882" t="s">
        <v>1014</v>
      </c>
      <c r="E882" t="s">
        <v>1027</v>
      </c>
      <c r="F882" t="s">
        <v>1110</v>
      </c>
      <c r="G882" t="s">
        <v>2242</v>
      </c>
      <c r="H882" s="13">
        <v>2923.6439999999998</v>
      </c>
      <c r="I882" s="14">
        <v>6038774.1900000004</v>
      </c>
      <c r="J882" t="s">
        <v>1052</v>
      </c>
      <c r="K882" s="10">
        <v>2081.2888899999998</v>
      </c>
      <c r="U882" s="10">
        <v>1879.841999999999</v>
      </c>
      <c r="V882" s="10">
        <v>1966.314729999998</v>
      </c>
      <c r="W882" s="10">
        <v>2073.0069555769251</v>
      </c>
      <c r="X882" s="10">
        <v>2078.763808490567</v>
      </c>
      <c r="Y882" s="10">
        <v>2079.9683448780488</v>
      </c>
      <c r="Z882" s="11" t="str">
        <f t="shared" si="13"/>
        <v/>
      </c>
    </row>
    <row r="883" spans="1:26" x14ac:dyDescent="0.3">
      <c r="A883" t="s">
        <v>882</v>
      </c>
      <c r="B883" t="s">
        <v>3242</v>
      </c>
      <c r="C883" t="s">
        <v>3243</v>
      </c>
      <c r="D883" t="s">
        <v>1015</v>
      </c>
      <c r="E883" t="s">
        <v>1019</v>
      </c>
      <c r="F883" t="s">
        <v>2790</v>
      </c>
      <c r="G883" t="s">
        <v>1955</v>
      </c>
      <c r="H883" s="13">
        <v>51354418.5</v>
      </c>
      <c r="I883" s="14">
        <v>6035732.4199999999</v>
      </c>
      <c r="J883" t="s">
        <v>1052</v>
      </c>
      <c r="K883" s="10">
        <v>2.315E-2</v>
      </c>
      <c r="S883" s="10">
        <v>2.7222857142857139E-2</v>
      </c>
      <c r="T883" s="10">
        <v>2.706480769230768E-2</v>
      </c>
      <c r="U883" s="10">
        <v>2.591076923076922E-2</v>
      </c>
      <c r="V883" s="10">
        <v>2.624461538461537E-2</v>
      </c>
      <c r="W883" s="10">
        <v>2.2746730769230779E-2</v>
      </c>
      <c r="X883" s="10">
        <v>2.3730377358490571E-2</v>
      </c>
      <c r="Y883" s="10">
        <v>2.3901219512195111E-2</v>
      </c>
      <c r="Z883" s="11" t="str">
        <f t="shared" si="13"/>
        <v/>
      </c>
    </row>
    <row r="884" spans="1:26" x14ac:dyDescent="0.3">
      <c r="A884" t="s">
        <v>883</v>
      </c>
      <c r="B884" t="s">
        <v>3244</v>
      </c>
      <c r="C884" t="s">
        <v>2354</v>
      </c>
      <c r="D884" t="s">
        <v>1015</v>
      </c>
      <c r="E884" t="s">
        <v>1032</v>
      </c>
      <c r="F884" t="s">
        <v>2781</v>
      </c>
      <c r="G884" t="s">
        <v>1611</v>
      </c>
      <c r="H884" s="13">
        <v>61826538.409999996</v>
      </c>
      <c r="I884" s="14">
        <v>6008695.3899999997</v>
      </c>
      <c r="J884" t="s">
        <v>1061</v>
      </c>
      <c r="K884" s="10">
        <v>6.651E-2</v>
      </c>
      <c r="M884" s="10">
        <v>4.2791132075471687E-2</v>
      </c>
      <c r="N884" s="10">
        <v>4.1867500000000009E-2</v>
      </c>
      <c r="O884" s="10">
        <v>4.1450000000000008E-2</v>
      </c>
      <c r="P884" s="10">
        <v>3.9771153846153852E-2</v>
      </c>
      <c r="Q884" s="10">
        <v>3.8800769230769222E-2</v>
      </c>
      <c r="R884" s="10">
        <v>3.8561730769230758E-2</v>
      </c>
      <c r="S884" s="10">
        <v>4.3222075471698117E-2</v>
      </c>
      <c r="T884" s="10">
        <v>4.4509807692307647E-2</v>
      </c>
      <c r="U884" s="10">
        <v>4.360615384615385E-2</v>
      </c>
      <c r="V884" s="10">
        <v>5.3141538461538462E-2</v>
      </c>
      <c r="W884" s="10">
        <v>6.0647307692307667E-2</v>
      </c>
      <c r="X884" s="10">
        <v>6.005301886792451E-2</v>
      </c>
      <c r="Y884" s="10">
        <v>6.5462682926829288E-2</v>
      </c>
      <c r="Z884" s="11">
        <f t="shared" si="13"/>
        <v>0.55732166999999999</v>
      </c>
    </row>
    <row r="885" spans="1:26" x14ac:dyDescent="0.3">
      <c r="A885" t="s">
        <v>884</v>
      </c>
      <c r="B885" t="s">
        <v>3245</v>
      </c>
      <c r="C885" t="s">
        <v>3246</v>
      </c>
      <c r="D885" t="s">
        <v>1014</v>
      </c>
      <c r="E885" t="s">
        <v>1027</v>
      </c>
      <c r="F885" t="s">
        <v>1068</v>
      </c>
      <c r="G885" t="s">
        <v>3247</v>
      </c>
      <c r="H885" s="13">
        <v>355803.5</v>
      </c>
      <c r="I885" s="14">
        <v>6004231.3099999996</v>
      </c>
      <c r="J885" t="s">
        <v>1052</v>
      </c>
      <c r="K885" s="10">
        <v>17.910869999999999</v>
      </c>
      <c r="M885" s="10">
        <v>10.430762830188691</v>
      </c>
      <c r="N885" s="10">
        <v>11.44516730769231</v>
      </c>
      <c r="O885" s="10">
        <v>12.703167692307691</v>
      </c>
      <c r="P885" s="10">
        <v>13.65635000000001</v>
      </c>
      <c r="Q885" s="10">
        <v>14.827336730769231</v>
      </c>
      <c r="R885" s="10">
        <v>15.811081538461551</v>
      </c>
      <c r="S885" s="10">
        <v>16.116969245283009</v>
      </c>
      <c r="T885" s="10">
        <v>16.40715538461539</v>
      </c>
      <c r="U885" s="10">
        <v>16.725917884615399</v>
      </c>
      <c r="V885" s="10">
        <v>17.055076153846141</v>
      </c>
      <c r="W885" s="10">
        <v>17.109990961538461</v>
      </c>
      <c r="X885" s="10">
        <v>17.415020000000009</v>
      </c>
      <c r="Y885" s="10">
        <v>17.918806097560982</v>
      </c>
      <c r="Z885" s="11">
        <f t="shared" si="13"/>
        <v>0.10144394</v>
      </c>
    </row>
    <row r="886" spans="1:26" x14ac:dyDescent="0.3">
      <c r="A886" t="s">
        <v>885</v>
      </c>
      <c r="B886" t="s">
        <v>3248</v>
      </c>
      <c r="C886" t="s">
        <v>2381</v>
      </c>
      <c r="D886" t="s">
        <v>1015</v>
      </c>
      <c r="E886" t="s">
        <v>1030</v>
      </c>
      <c r="F886" t="s">
        <v>2803</v>
      </c>
      <c r="G886" t="s">
        <v>2201</v>
      </c>
      <c r="H886" s="13">
        <v>23155904.386999998</v>
      </c>
      <c r="I886" s="14">
        <v>5998800.0499999998</v>
      </c>
      <c r="J886" t="s">
        <v>1052</v>
      </c>
      <c r="K886" s="10">
        <v>4.7199999999999999E-2</v>
      </c>
      <c r="O886" s="10">
        <v>4.8622800000000001E-2</v>
      </c>
      <c r="P886" s="10">
        <v>4.7087884615384608E-2</v>
      </c>
      <c r="Q886" s="10">
        <v>4.8389230769230768E-2</v>
      </c>
      <c r="R886" s="10">
        <v>5.8261923076923093E-2</v>
      </c>
      <c r="S886" s="10">
        <v>6.5989433962264157E-2</v>
      </c>
      <c r="T886" s="10">
        <v>6.1310769230769217E-2</v>
      </c>
      <c r="U886" s="10">
        <v>5.7104423076923053E-2</v>
      </c>
      <c r="V886" s="10">
        <v>5.4727884615384609E-2</v>
      </c>
      <c r="W886" s="10">
        <v>5.0229615384615393E-2</v>
      </c>
      <c r="X886" s="10">
        <v>4.8563962264150953E-2</v>
      </c>
      <c r="Y886" s="10">
        <v>4.4645609756097562E-2</v>
      </c>
      <c r="Z886" s="11">
        <f t="shared" si="13"/>
        <v>-0.16645452999999999</v>
      </c>
    </row>
    <row r="887" spans="1:26" x14ac:dyDescent="0.3">
      <c r="A887" t="s">
        <v>886</v>
      </c>
      <c r="B887" t="s">
        <v>3249</v>
      </c>
      <c r="C887" t="s">
        <v>3250</v>
      </c>
      <c r="D887" t="s">
        <v>1015</v>
      </c>
      <c r="E887" t="s">
        <v>1026</v>
      </c>
      <c r="F887" t="s">
        <v>1941</v>
      </c>
      <c r="G887" t="s">
        <v>2434</v>
      </c>
      <c r="H887" s="13">
        <v>13280126.060000001</v>
      </c>
      <c r="I887" s="14">
        <v>5998767.6500000004</v>
      </c>
      <c r="J887" t="s">
        <v>1052</v>
      </c>
      <c r="K887" s="10">
        <v>0.28544000000000003</v>
      </c>
      <c r="M887" s="10">
        <v>0.36209547169811312</v>
      </c>
      <c r="N887" s="10">
        <v>0.34007923076923069</v>
      </c>
      <c r="O887" s="10">
        <v>0.31391307692307691</v>
      </c>
      <c r="P887" s="10">
        <v>0.31407326923076911</v>
      </c>
      <c r="Q887" s="10">
        <v>0.33345134615384631</v>
      </c>
      <c r="R887" s="10">
        <v>0.34512134615384632</v>
      </c>
      <c r="S887" s="10">
        <v>0.35270226415094341</v>
      </c>
      <c r="T887" s="10">
        <v>0.36300903846153842</v>
      </c>
      <c r="U887" s="10">
        <v>0.3221615384615385</v>
      </c>
      <c r="V887" s="10">
        <v>0.32259076923076929</v>
      </c>
      <c r="W887" s="10">
        <v>0.3145599999999999</v>
      </c>
      <c r="X887" s="10">
        <v>0.298988679245283</v>
      </c>
      <c r="Y887" s="10">
        <v>0.28583439024390228</v>
      </c>
      <c r="Z887" s="11">
        <f t="shared" si="13"/>
        <v>-0.13367086</v>
      </c>
    </row>
    <row r="888" spans="1:26" x14ac:dyDescent="0.3">
      <c r="A888" t="s">
        <v>887</v>
      </c>
      <c r="B888" t="s">
        <v>3251</v>
      </c>
      <c r="C888" t="s">
        <v>3252</v>
      </c>
      <c r="D888" t="s">
        <v>1015</v>
      </c>
      <c r="E888" t="s">
        <v>1025</v>
      </c>
      <c r="F888" t="s">
        <v>1843</v>
      </c>
      <c r="G888" t="s">
        <v>2630</v>
      </c>
      <c r="H888" s="13">
        <v>1138836.33</v>
      </c>
      <c r="I888" s="14">
        <v>5988207.2699999996</v>
      </c>
      <c r="J888" t="s">
        <v>1061</v>
      </c>
      <c r="K888" s="10">
        <v>3.8331200000000001</v>
      </c>
      <c r="M888" s="10">
        <v>1.980321132075471</v>
      </c>
      <c r="N888" s="10">
        <v>3.3501546153846129</v>
      </c>
      <c r="O888" s="10">
        <v>7.1568382692307706</v>
      </c>
      <c r="P888" s="10">
        <v>5.6867774999999972</v>
      </c>
      <c r="Q888" s="10">
        <v>5.5482180769230771</v>
      </c>
      <c r="R888" s="10">
        <v>5.4679594230769206</v>
      </c>
      <c r="S888" s="10">
        <v>5.8600056603773583</v>
      </c>
      <c r="T888" s="10">
        <v>5.8493355769230782</v>
      </c>
      <c r="U888" s="10">
        <v>5.9400065384615361</v>
      </c>
      <c r="V888" s="10">
        <v>5.4098451923076949</v>
      </c>
      <c r="W888" s="10">
        <v>4.7725055769230798</v>
      </c>
      <c r="X888" s="10">
        <v>4.5417811320754717</v>
      </c>
      <c r="Y888" s="10">
        <v>3.9249941463414628</v>
      </c>
      <c r="Z888" s="11">
        <f t="shared" si="13"/>
        <v>-0.1693828</v>
      </c>
    </row>
    <row r="889" spans="1:26" x14ac:dyDescent="0.3">
      <c r="A889" t="s">
        <v>888</v>
      </c>
      <c r="B889" t="s">
        <v>3253</v>
      </c>
      <c r="C889" t="s">
        <v>3254</v>
      </c>
      <c r="D889" t="s">
        <v>1017</v>
      </c>
      <c r="E889" t="s">
        <v>1025</v>
      </c>
      <c r="F889" t="s">
        <v>2471</v>
      </c>
      <c r="G889" t="s">
        <v>3255</v>
      </c>
      <c r="H889" s="13">
        <v>7152.3</v>
      </c>
      <c r="I889" s="14">
        <v>5974669.7599999998</v>
      </c>
      <c r="J889" t="s">
        <v>1061</v>
      </c>
      <c r="K889" s="10">
        <v>820.99657999999999</v>
      </c>
      <c r="X889" s="10">
        <v>819.74444000000017</v>
      </c>
      <c r="Y889" s="10">
        <v>820.64007926829254</v>
      </c>
      <c r="Z889" s="11" t="str">
        <f t="shared" si="13"/>
        <v/>
      </c>
    </row>
    <row r="890" spans="1:26" x14ac:dyDescent="0.3">
      <c r="A890" t="s">
        <v>889</v>
      </c>
      <c r="B890" t="s">
        <v>3256</v>
      </c>
      <c r="C890" t="s">
        <v>1414</v>
      </c>
      <c r="D890" t="s">
        <v>1014</v>
      </c>
      <c r="E890" t="s">
        <v>1018</v>
      </c>
      <c r="F890" t="s">
        <v>1096</v>
      </c>
      <c r="G890" t="s">
        <v>1253</v>
      </c>
      <c r="H890" s="13">
        <v>530603</v>
      </c>
      <c r="I890" s="14">
        <v>5964510.7999999998</v>
      </c>
      <c r="J890" t="s">
        <v>1052</v>
      </c>
      <c r="K890" s="10">
        <v>11.58867</v>
      </c>
      <c r="O890" s="10">
        <v>6.2198596153846131</v>
      </c>
      <c r="P890" s="10">
        <v>6.6992684615384599</v>
      </c>
      <c r="Q890" s="10">
        <v>7.4038896153846094</v>
      </c>
      <c r="R890" s="10">
        <v>8.0928630769230736</v>
      </c>
      <c r="S890" s="10">
        <v>8.685626037735851</v>
      </c>
      <c r="T890" s="10">
        <v>9.3061507692307703</v>
      </c>
      <c r="U890" s="10">
        <v>10.05687403846154</v>
      </c>
      <c r="V890" s="10">
        <v>10.68052826923077</v>
      </c>
      <c r="W890" s="10">
        <v>10.98981173076923</v>
      </c>
      <c r="X890" s="10">
        <v>11.24843075471698</v>
      </c>
      <c r="Y890" s="10">
        <v>11.586995853658539</v>
      </c>
      <c r="Z890" s="11">
        <f t="shared" si="13"/>
        <v>0.38991981999999997</v>
      </c>
    </row>
    <row r="891" spans="1:26" x14ac:dyDescent="0.3">
      <c r="A891" t="s">
        <v>890</v>
      </c>
      <c r="B891" t="s">
        <v>3257</v>
      </c>
      <c r="C891" t="s">
        <v>3258</v>
      </c>
      <c r="D891" t="s">
        <v>1015</v>
      </c>
      <c r="E891" t="s">
        <v>1026</v>
      </c>
      <c r="F891" t="s">
        <v>1382</v>
      </c>
      <c r="G891" t="s">
        <v>3259</v>
      </c>
      <c r="H891" s="13">
        <v>29528</v>
      </c>
      <c r="I891" s="14">
        <v>5944705.8600000003</v>
      </c>
      <c r="J891" t="s">
        <v>1052</v>
      </c>
      <c r="K891" s="10">
        <v>90.504599999999996</v>
      </c>
      <c r="Y891" s="10">
        <v>140.13092439024391</v>
      </c>
      <c r="Z891" s="11" t="str">
        <f t="shared" si="13"/>
        <v/>
      </c>
    </row>
    <row r="892" spans="1:26" x14ac:dyDescent="0.3">
      <c r="A892" t="s">
        <v>891</v>
      </c>
      <c r="B892" t="s">
        <v>3260</v>
      </c>
      <c r="C892" t="s">
        <v>2622</v>
      </c>
      <c r="D892" t="s">
        <v>1015</v>
      </c>
      <c r="E892" t="s">
        <v>1018</v>
      </c>
      <c r="F892" t="s">
        <v>3261</v>
      </c>
      <c r="G892" t="s">
        <v>2623</v>
      </c>
      <c r="H892" s="13">
        <v>163121</v>
      </c>
      <c r="I892" s="14">
        <v>5942029.1900000004</v>
      </c>
      <c r="J892" t="s">
        <v>1052</v>
      </c>
      <c r="K892" s="10">
        <v>8.0245300000000004</v>
      </c>
      <c r="Y892" s="10">
        <v>8.4401304878048826</v>
      </c>
      <c r="Z892" s="11" t="str">
        <f t="shared" si="13"/>
        <v/>
      </c>
    </row>
    <row r="893" spans="1:26" x14ac:dyDescent="0.3">
      <c r="A893" t="s">
        <v>892</v>
      </c>
      <c r="B893" t="s">
        <v>3262</v>
      </c>
      <c r="C893" t="s">
        <v>3263</v>
      </c>
      <c r="D893" t="s">
        <v>1015</v>
      </c>
      <c r="E893" t="s">
        <v>1018</v>
      </c>
      <c r="F893" t="s">
        <v>2183</v>
      </c>
      <c r="G893" t="s">
        <v>3105</v>
      </c>
      <c r="H893" s="13">
        <v>29608511.081</v>
      </c>
      <c r="I893" s="14">
        <v>5917871.3799999999</v>
      </c>
      <c r="J893" t="s">
        <v>1052</v>
      </c>
      <c r="K893" s="10">
        <v>3.2669999999999998E-2</v>
      </c>
      <c r="O893" s="10">
        <v>4.9096382978723423E-2</v>
      </c>
      <c r="P893" s="10">
        <v>4.1022307692307677E-2</v>
      </c>
      <c r="Q893" s="10">
        <v>3.5621730769230781E-2</v>
      </c>
      <c r="R893" s="10">
        <v>4.9980576923076919E-2</v>
      </c>
      <c r="S893" s="10">
        <v>0.1083692452830189</v>
      </c>
      <c r="T893" s="10">
        <v>8.0630192307692292E-2</v>
      </c>
      <c r="U893" s="10">
        <v>6.5808846153846162E-2</v>
      </c>
      <c r="V893" s="10">
        <v>4.6716730769230781E-2</v>
      </c>
      <c r="W893" s="10">
        <v>3.9505576923076921E-2</v>
      </c>
      <c r="X893" s="10">
        <v>3.4947169811320768E-2</v>
      </c>
      <c r="Y893" s="10">
        <v>3.2821219512195118E-2</v>
      </c>
      <c r="Z893" s="11">
        <f t="shared" si="13"/>
        <v>-0.30078498999999997</v>
      </c>
    </row>
    <row r="894" spans="1:26" x14ac:dyDescent="0.3">
      <c r="A894" t="s">
        <v>893</v>
      </c>
      <c r="B894" t="s">
        <v>3264</v>
      </c>
      <c r="C894" t="s">
        <v>2586</v>
      </c>
      <c r="D894" t="s">
        <v>1015</v>
      </c>
      <c r="E894" t="s">
        <v>1027</v>
      </c>
      <c r="F894" t="s">
        <v>1485</v>
      </c>
      <c r="G894" t="s">
        <v>3265</v>
      </c>
      <c r="H894" s="13">
        <v>768981</v>
      </c>
      <c r="I894" s="14">
        <v>5893014.5899999999</v>
      </c>
      <c r="J894" t="s">
        <v>1163</v>
      </c>
      <c r="K894" s="10">
        <v>7.11754</v>
      </c>
      <c r="R894" s="10">
        <v>8.9961528571428655</v>
      </c>
      <c r="S894" s="10">
        <v>10.810913773584909</v>
      </c>
      <c r="T894" s="10">
        <v>10.608479999999989</v>
      </c>
      <c r="W894" s="10">
        <v>8.5051494594594548</v>
      </c>
      <c r="X894" s="10">
        <v>7.7735954716981137</v>
      </c>
      <c r="Y894" s="10">
        <v>6.757829756097566</v>
      </c>
      <c r="Z894" s="11">
        <f t="shared" si="13"/>
        <v>-0.13589780000000001</v>
      </c>
    </row>
    <row r="895" spans="1:26" x14ac:dyDescent="0.3">
      <c r="A895" t="s">
        <v>894</v>
      </c>
      <c r="B895" t="s">
        <v>3266</v>
      </c>
      <c r="C895" t="s">
        <v>3267</v>
      </c>
      <c r="D895" t="s">
        <v>1015</v>
      </c>
      <c r="E895" t="s">
        <v>1030</v>
      </c>
      <c r="F895" t="s">
        <v>2052</v>
      </c>
      <c r="G895" t="s">
        <v>3268</v>
      </c>
      <c r="H895" s="13">
        <v>24309341.395</v>
      </c>
      <c r="I895" s="14">
        <v>5889317.0800000001</v>
      </c>
      <c r="J895" t="s">
        <v>1052</v>
      </c>
      <c r="K895" s="10">
        <v>1.8419999999999999E-2</v>
      </c>
      <c r="M895" s="10">
        <v>2.7342452830188681E-2</v>
      </c>
      <c r="N895" s="10">
        <v>2.6313653846153851E-2</v>
      </c>
      <c r="O895" s="10">
        <v>2.3985576923076918E-2</v>
      </c>
      <c r="P895" s="10">
        <v>2.0952500000000009E-2</v>
      </c>
      <c r="Q895" s="10">
        <v>1.9365384615384611E-2</v>
      </c>
      <c r="R895" s="10">
        <v>2.102096153846154E-2</v>
      </c>
      <c r="S895" s="10">
        <v>2.091188679245283E-2</v>
      </c>
      <c r="T895" s="10">
        <v>2.253115384615384E-2</v>
      </c>
      <c r="U895" s="10">
        <v>2.3857307692307692E-2</v>
      </c>
      <c r="V895" s="10">
        <v>2.2219807692307691E-2</v>
      </c>
      <c r="W895" s="10">
        <v>1.9881538461538451E-2</v>
      </c>
      <c r="X895" s="10">
        <v>1.9783962264150939E-2</v>
      </c>
      <c r="Y895" s="10">
        <v>1.9194146341463419E-2</v>
      </c>
      <c r="Z895" s="11">
        <f t="shared" si="13"/>
        <v>-5.8845990000000001E-2</v>
      </c>
    </row>
    <row r="896" spans="1:26" x14ac:dyDescent="0.3">
      <c r="A896" t="s">
        <v>895</v>
      </c>
      <c r="B896" t="s">
        <v>3269</v>
      </c>
      <c r="C896" t="s">
        <v>3270</v>
      </c>
      <c r="D896" t="s">
        <v>1014</v>
      </c>
      <c r="E896" t="s">
        <v>1020</v>
      </c>
      <c r="F896" t="s">
        <v>3271</v>
      </c>
      <c r="G896" t="s">
        <v>3272</v>
      </c>
      <c r="H896" s="13">
        <v>10104</v>
      </c>
      <c r="I896" s="14">
        <v>5862585.8799999999</v>
      </c>
      <c r="J896" t="s">
        <v>1052</v>
      </c>
      <c r="K896" s="10">
        <v>556.82399999999996</v>
      </c>
      <c r="X896" s="10">
        <v>562.40600396226375</v>
      </c>
      <c r="Y896" s="10">
        <v>559.22533951219509</v>
      </c>
      <c r="Z896" s="11" t="str">
        <f t="shared" si="13"/>
        <v/>
      </c>
    </row>
    <row r="897" spans="1:26" x14ac:dyDescent="0.3">
      <c r="A897" t="s">
        <v>896</v>
      </c>
      <c r="B897" t="s">
        <v>3273</v>
      </c>
      <c r="C897" t="s">
        <v>3274</v>
      </c>
      <c r="D897" t="s">
        <v>1015</v>
      </c>
      <c r="E897" t="s">
        <v>1026</v>
      </c>
      <c r="F897" t="s">
        <v>2915</v>
      </c>
      <c r="G897" t="s">
        <v>2434</v>
      </c>
      <c r="H897" s="13">
        <v>12543042.77</v>
      </c>
      <c r="I897" s="14">
        <v>5858078.2599999998</v>
      </c>
      <c r="J897" t="s">
        <v>1061</v>
      </c>
      <c r="K897" s="10">
        <v>0.24475</v>
      </c>
      <c r="U897" s="10">
        <v>0.65784799999999999</v>
      </c>
      <c r="V897" s="10">
        <v>0.40264442307692322</v>
      </c>
      <c r="W897" s="10">
        <v>0.32916557692307702</v>
      </c>
      <c r="X897" s="10">
        <v>0.32066811320754718</v>
      </c>
      <c r="Y897" s="10">
        <v>0.27879268292682929</v>
      </c>
      <c r="Z897" s="11" t="str">
        <f t="shared" si="13"/>
        <v/>
      </c>
    </row>
    <row r="898" spans="1:26" x14ac:dyDescent="0.3">
      <c r="A898" t="s">
        <v>897</v>
      </c>
      <c r="B898" t="s">
        <v>3275</v>
      </c>
      <c r="C898" t="s">
        <v>3276</v>
      </c>
      <c r="D898" t="s">
        <v>1015</v>
      </c>
      <c r="E898" t="s">
        <v>1026</v>
      </c>
      <c r="F898" t="s">
        <v>3277</v>
      </c>
      <c r="G898" t="s">
        <v>3278</v>
      </c>
      <c r="H898" s="13">
        <v>6409062.6909999996</v>
      </c>
      <c r="I898" s="14">
        <v>5855618.5199999996</v>
      </c>
      <c r="J898" t="s">
        <v>1052</v>
      </c>
      <c r="K898" s="10">
        <v>0.29576999999999998</v>
      </c>
      <c r="W898" s="10">
        <v>0.4464861538461537</v>
      </c>
      <c r="X898" s="10">
        <v>0.32914698113207558</v>
      </c>
      <c r="Y898" s="10">
        <v>0.31954682926829259</v>
      </c>
      <c r="Z898" s="11" t="str">
        <f t="shared" ref="Z898:Z961" si="14">IF(AND(ISNUMBER(INDEX($L898:$Y898,MATCH(BaseYear,p_years,0))),ISNUMBER(INDEX($L898:$Y898,MATCH(EndYear,p_years,0)))),ROUND(INDEX($L898:$Y898,MATCH(EndYear,p_years,0))/INDEX($L898:$Y898,MATCH(BaseYear,p_years,0))-1,8),"")</f>
        <v/>
      </c>
    </row>
    <row r="899" spans="1:26" x14ac:dyDescent="0.3">
      <c r="A899" t="s">
        <v>898</v>
      </c>
      <c r="B899" t="s">
        <v>3279</v>
      </c>
      <c r="C899" t="s">
        <v>3280</v>
      </c>
      <c r="D899" t="s">
        <v>1016</v>
      </c>
      <c r="E899" t="s">
        <v>1027</v>
      </c>
      <c r="F899" t="s">
        <v>1382</v>
      </c>
      <c r="G899" t="s">
        <v>2617</v>
      </c>
      <c r="H899" s="13">
        <v>568449</v>
      </c>
      <c r="I899" s="14">
        <v>5844526.4400000004</v>
      </c>
      <c r="J899" t="s">
        <v>1052</v>
      </c>
      <c r="K899" s="10">
        <v>12.241440000000001</v>
      </c>
      <c r="M899" s="10">
        <v>4.4751630952380976</v>
      </c>
      <c r="N899" s="10">
        <v>4.837504807692306</v>
      </c>
      <c r="O899" s="10">
        <v>5.2435573076923072</v>
      </c>
      <c r="P899" s="10">
        <v>5.6067894230769229</v>
      </c>
      <c r="Q899" s="10">
        <v>5.9823542307692277</v>
      </c>
      <c r="R899" s="10">
        <v>6.7113832692307733</v>
      </c>
      <c r="S899" s="10">
        <v>7.144357358490562</v>
      </c>
      <c r="T899" s="10">
        <v>7.8118803846153924</v>
      </c>
      <c r="U899" s="10">
        <v>8.5466561538461558</v>
      </c>
      <c r="V899" s="10">
        <v>9.3885303846153807</v>
      </c>
      <c r="W899" s="10">
        <v>10.29037230769231</v>
      </c>
      <c r="X899" s="10">
        <v>11.18629320754717</v>
      </c>
      <c r="Y899" s="10">
        <v>12.24491390243902</v>
      </c>
      <c r="Z899" s="11">
        <f t="shared" si="14"/>
        <v>0.66676418000000004</v>
      </c>
    </row>
    <row r="900" spans="1:26" x14ac:dyDescent="0.3">
      <c r="A900" t="s">
        <v>899</v>
      </c>
      <c r="B900" t="s">
        <v>3281</v>
      </c>
      <c r="C900" t="s">
        <v>3282</v>
      </c>
      <c r="D900" t="s">
        <v>1014</v>
      </c>
      <c r="E900" t="s">
        <v>1020</v>
      </c>
      <c r="F900" t="s">
        <v>3283</v>
      </c>
      <c r="G900" t="s">
        <v>3284</v>
      </c>
      <c r="H900" s="13">
        <v>18904.5</v>
      </c>
      <c r="I900" s="14">
        <v>5829857.4800000004</v>
      </c>
      <c r="J900" t="s">
        <v>1061</v>
      </c>
      <c r="K900" s="10">
        <v>316.38038</v>
      </c>
      <c r="R900" s="10">
        <v>235.3684375</v>
      </c>
      <c r="S900" s="10">
        <v>245.14429075471699</v>
      </c>
      <c r="T900" s="10">
        <v>256.1677790384615</v>
      </c>
      <c r="U900" s="10">
        <v>270.32443326923078</v>
      </c>
      <c r="V900" s="10">
        <v>290.65718749999979</v>
      </c>
      <c r="W900" s="10">
        <v>298.93956942307699</v>
      </c>
      <c r="X900" s="10">
        <v>307.40704660377361</v>
      </c>
      <c r="Y900" s="10">
        <v>316.6481851219512</v>
      </c>
      <c r="Z900" s="11">
        <f t="shared" si="14"/>
        <v>0.30606740999999998</v>
      </c>
    </row>
    <row r="901" spans="1:26" x14ac:dyDescent="0.3">
      <c r="A901" t="s">
        <v>900</v>
      </c>
      <c r="B901" t="s">
        <v>3285</v>
      </c>
      <c r="C901" t="s">
        <v>2926</v>
      </c>
      <c r="D901" t="s">
        <v>1015</v>
      </c>
      <c r="E901" t="s">
        <v>1027</v>
      </c>
      <c r="F901" t="s">
        <v>2108</v>
      </c>
      <c r="G901" t="s">
        <v>2741</v>
      </c>
      <c r="H901" s="13">
        <v>24712302.449999999</v>
      </c>
      <c r="I901" s="14">
        <v>5822379.3200000003</v>
      </c>
      <c r="J901" t="s">
        <v>1052</v>
      </c>
      <c r="K901" s="10">
        <v>3.4790000000000001E-2</v>
      </c>
      <c r="M901" s="10">
        <v>5.4278679245283047E-2</v>
      </c>
      <c r="N901" s="10">
        <v>5.4112692307692299E-2</v>
      </c>
      <c r="O901" s="10">
        <v>5.2288269230769242E-2</v>
      </c>
      <c r="P901" s="10">
        <v>4.7865384615384622E-2</v>
      </c>
      <c r="Q901" s="10">
        <v>4.4779423076923071E-2</v>
      </c>
      <c r="R901" s="10">
        <v>4.5134038461538448E-2</v>
      </c>
      <c r="S901" s="10">
        <v>4.8865283018867917E-2</v>
      </c>
      <c r="T901" s="10">
        <v>4.8876923076923082E-2</v>
      </c>
      <c r="U901" s="10">
        <v>4.2966730769230778E-2</v>
      </c>
      <c r="V901" s="10">
        <v>4.2143653846153872E-2</v>
      </c>
      <c r="W901" s="10">
        <v>3.7673269230769212E-2</v>
      </c>
      <c r="X901" s="10">
        <v>3.6202830188679251E-2</v>
      </c>
      <c r="Y901" s="10">
        <v>3.5421463414634161E-2</v>
      </c>
      <c r="Z901" s="11">
        <f t="shared" si="14"/>
        <v>-0.19788188000000001</v>
      </c>
    </row>
    <row r="902" spans="1:26" x14ac:dyDescent="0.3">
      <c r="A902" t="s">
        <v>901</v>
      </c>
      <c r="B902" t="s">
        <v>3286</v>
      </c>
      <c r="C902" t="s">
        <v>3287</v>
      </c>
      <c r="D902" t="s">
        <v>1015</v>
      </c>
      <c r="E902" t="s">
        <v>1033</v>
      </c>
      <c r="F902" t="s">
        <v>2108</v>
      </c>
      <c r="G902" t="s">
        <v>3288</v>
      </c>
      <c r="H902" s="13">
        <v>12773368.744000001</v>
      </c>
      <c r="I902" s="14">
        <v>5820534.8799999999</v>
      </c>
      <c r="J902" t="s">
        <v>1052</v>
      </c>
      <c r="K902" s="10">
        <v>0.214</v>
      </c>
      <c r="Q902" s="10">
        <v>1.4398909615384621</v>
      </c>
      <c r="R902" s="10">
        <v>0.518871346153846</v>
      </c>
      <c r="S902" s="10">
        <v>0.36686528301886773</v>
      </c>
      <c r="T902" s="10">
        <v>0.30230961538461543</v>
      </c>
      <c r="U902" s="10">
        <v>0.2487790384615384</v>
      </c>
      <c r="V902" s="10">
        <v>0.24275749999999999</v>
      </c>
      <c r="W902" s="10">
        <v>0.23749500000000001</v>
      </c>
      <c r="X902" s="10">
        <v>0.21402056603773589</v>
      </c>
      <c r="Y902" s="10">
        <v>0.21838975609756089</v>
      </c>
      <c r="Z902" s="11">
        <f t="shared" si="14"/>
        <v>-0.58752671999999995</v>
      </c>
    </row>
    <row r="903" spans="1:26" x14ac:dyDescent="0.3">
      <c r="A903" t="s">
        <v>902</v>
      </c>
      <c r="B903" t="s">
        <v>3289</v>
      </c>
      <c r="C903" t="s">
        <v>3290</v>
      </c>
      <c r="D903" t="s">
        <v>1014</v>
      </c>
      <c r="E903" t="s">
        <v>1027</v>
      </c>
      <c r="F903" t="s">
        <v>1068</v>
      </c>
      <c r="G903" t="s">
        <v>3247</v>
      </c>
      <c r="H903" s="13">
        <v>288736</v>
      </c>
      <c r="I903" s="14">
        <v>5816084.4500000002</v>
      </c>
      <c r="J903" t="s">
        <v>1052</v>
      </c>
      <c r="K903" s="10">
        <v>21.070550000000001</v>
      </c>
      <c r="M903" s="10">
        <v>12.2910762264151</v>
      </c>
      <c r="N903" s="10">
        <v>13.515064423076931</v>
      </c>
      <c r="O903" s="10">
        <v>14.76976403846154</v>
      </c>
      <c r="P903" s="10">
        <v>15.940494230769239</v>
      </c>
      <c r="Q903" s="10">
        <v>17.459996923076929</v>
      </c>
      <c r="R903" s="10">
        <v>18.454267692307688</v>
      </c>
      <c r="S903" s="10">
        <v>18.86369981132076</v>
      </c>
      <c r="T903" s="10">
        <v>19.2469921153846</v>
      </c>
      <c r="U903" s="10">
        <v>19.707581153846171</v>
      </c>
      <c r="V903" s="10">
        <v>20.071036923076932</v>
      </c>
      <c r="W903" s="10">
        <v>20.024542115384609</v>
      </c>
      <c r="X903" s="10">
        <v>20.48867905660379</v>
      </c>
      <c r="Y903" s="10">
        <v>21.070891951219519</v>
      </c>
      <c r="Z903" s="11">
        <f t="shared" si="14"/>
        <v>0.1102407</v>
      </c>
    </row>
    <row r="904" spans="1:26" x14ac:dyDescent="0.3">
      <c r="A904" t="s">
        <v>903</v>
      </c>
      <c r="B904" t="s">
        <v>3291</v>
      </c>
      <c r="C904" t="s">
        <v>3292</v>
      </c>
      <c r="D904" t="s">
        <v>1015</v>
      </c>
      <c r="E904" t="s">
        <v>1029</v>
      </c>
      <c r="F904" t="s">
        <v>1610</v>
      </c>
      <c r="G904" t="s">
        <v>3293</v>
      </c>
      <c r="H904" s="13">
        <v>58017</v>
      </c>
      <c r="I904" s="14">
        <v>5802447.6799999997</v>
      </c>
      <c r="J904" t="s">
        <v>1052</v>
      </c>
      <c r="K904" s="10">
        <v>95.908379999999994</v>
      </c>
      <c r="W904" s="10">
        <v>106.11124783783779</v>
      </c>
      <c r="X904" s="10">
        <v>102.7446198113208</v>
      </c>
      <c r="Y904" s="10">
        <v>110.0907063414633</v>
      </c>
      <c r="Z904" s="11" t="str">
        <f t="shared" si="14"/>
        <v/>
      </c>
    </row>
    <row r="905" spans="1:26" x14ac:dyDescent="0.3">
      <c r="A905" t="s">
        <v>904</v>
      </c>
      <c r="B905" t="s">
        <v>3294</v>
      </c>
      <c r="C905" t="s">
        <v>3210</v>
      </c>
      <c r="D905" t="s">
        <v>1015</v>
      </c>
      <c r="E905" t="s">
        <v>1026</v>
      </c>
      <c r="F905" t="s">
        <v>2806</v>
      </c>
      <c r="G905" t="s">
        <v>3211</v>
      </c>
      <c r="H905" s="13">
        <v>11820675.130000001</v>
      </c>
      <c r="I905" s="14">
        <v>5799199.6100000003</v>
      </c>
      <c r="J905" t="s">
        <v>1052</v>
      </c>
      <c r="K905" s="10">
        <v>0.10426000000000001</v>
      </c>
      <c r="N905" s="10">
        <v>0.44634519230769248</v>
      </c>
      <c r="O905" s="10">
        <v>0.42386673076923093</v>
      </c>
      <c r="P905" s="10">
        <v>0.33836634615384642</v>
      </c>
      <c r="Q905" s="10">
        <v>0.25013173076923079</v>
      </c>
      <c r="R905" s="10">
        <v>0.1820428846153847</v>
      </c>
      <c r="S905" s="10">
        <v>0.16968735849056599</v>
      </c>
      <c r="T905" s="10">
        <v>0.15411942307692311</v>
      </c>
      <c r="U905" s="10">
        <v>0.14843903846153839</v>
      </c>
      <c r="V905" s="10">
        <v>0.1317332692307692</v>
      </c>
      <c r="W905" s="10">
        <v>0.1094459615384616</v>
      </c>
      <c r="X905" s="10">
        <v>0.1041862264150944</v>
      </c>
      <c r="Y905" s="10">
        <v>0.1013629268292683</v>
      </c>
      <c r="Z905" s="11">
        <f t="shared" si="14"/>
        <v>-0.42768306</v>
      </c>
    </row>
    <row r="906" spans="1:26" x14ac:dyDescent="0.3">
      <c r="A906" t="s">
        <v>905</v>
      </c>
      <c r="B906" t="s">
        <v>3295</v>
      </c>
      <c r="C906" t="s">
        <v>3296</v>
      </c>
      <c r="D906" t="s">
        <v>1015</v>
      </c>
      <c r="E906" t="s">
        <v>1021</v>
      </c>
      <c r="F906" t="s">
        <v>2027</v>
      </c>
      <c r="G906" t="s">
        <v>2916</v>
      </c>
      <c r="H906" s="13">
        <v>5858258</v>
      </c>
      <c r="I906" s="14">
        <v>5777599.1500000004</v>
      </c>
      <c r="J906" t="s">
        <v>1163</v>
      </c>
      <c r="K906" s="10">
        <v>0.45928999999999998</v>
      </c>
      <c r="V906" s="10">
        <v>1.109904102564103</v>
      </c>
      <c r="W906" s="10">
        <v>0.84489403846153865</v>
      </c>
      <c r="X906" s="10">
        <v>0.80878396226415106</v>
      </c>
      <c r="Y906" s="10">
        <v>0.64706878048780481</v>
      </c>
      <c r="Z906" s="11" t="str">
        <f t="shared" si="14"/>
        <v/>
      </c>
    </row>
    <row r="907" spans="1:26" x14ac:dyDescent="0.3">
      <c r="A907" t="s">
        <v>906</v>
      </c>
      <c r="B907" t="s">
        <v>3297</v>
      </c>
      <c r="C907" t="s">
        <v>3298</v>
      </c>
      <c r="D907" t="s">
        <v>1014</v>
      </c>
      <c r="E907" t="s">
        <v>1027</v>
      </c>
      <c r="F907" t="s">
        <v>1811</v>
      </c>
      <c r="G907" t="s">
        <v>2384</v>
      </c>
      <c r="H907" s="13">
        <v>394344</v>
      </c>
      <c r="I907" s="14">
        <v>5776314.5700000003</v>
      </c>
      <c r="J907" t="s">
        <v>1052</v>
      </c>
      <c r="K907" s="10">
        <v>14.78945</v>
      </c>
      <c r="V907" s="10">
        <v>13.48696000000001</v>
      </c>
      <c r="W907" s="10">
        <v>14.163333846153851</v>
      </c>
      <c r="X907" s="10">
        <v>14.48721867924529</v>
      </c>
      <c r="Y907" s="10">
        <v>14.823038780487799</v>
      </c>
      <c r="Z907" s="11" t="str">
        <f t="shared" si="14"/>
        <v/>
      </c>
    </row>
    <row r="908" spans="1:26" x14ac:dyDescent="0.3">
      <c r="A908" t="s">
        <v>907</v>
      </c>
      <c r="B908" t="s">
        <v>3299</v>
      </c>
      <c r="C908" t="s">
        <v>3300</v>
      </c>
      <c r="D908" t="s">
        <v>1014</v>
      </c>
      <c r="E908" t="s">
        <v>1032</v>
      </c>
      <c r="F908" t="s">
        <v>1485</v>
      </c>
      <c r="G908" t="s">
        <v>3301</v>
      </c>
      <c r="H908" s="13">
        <v>615612</v>
      </c>
      <c r="I908" s="14">
        <v>5768975.5</v>
      </c>
      <c r="J908" t="s">
        <v>1163</v>
      </c>
      <c r="K908" s="10">
        <v>9.1398700000000002</v>
      </c>
      <c r="M908" s="10">
        <v>5.9812884905660351</v>
      </c>
      <c r="N908" s="10">
        <v>6.7241623076922998</v>
      </c>
      <c r="O908" s="10">
        <v>7.1401467307692297</v>
      </c>
      <c r="P908" s="10">
        <v>7.3270334615384636</v>
      </c>
      <c r="Q908" s="10">
        <v>7.8297705769230799</v>
      </c>
      <c r="R908" s="10">
        <v>7.8257507692307753</v>
      </c>
      <c r="S908" s="10">
        <v>8.3247290566037719</v>
      </c>
      <c r="T908" s="10">
        <v>8.3427215384615341</v>
      </c>
      <c r="U908" s="10">
        <v>8.6531184615384653</v>
      </c>
      <c r="V908" s="10">
        <v>8.7227815384615486</v>
      </c>
      <c r="W908" s="10">
        <v>8.7285117307692346</v>
      </c>
      <c r="X908" s="10">
        <v>9.1466694339622592</v>
      </c>
      <c r="Y908" s="10">
        <v>9.1460778048780504</v>
      </c>
      <c r="Z908" s="11">
        <f t="shared" si="14"/>
        <v>0.16879130000000001</v>
      </c>
    </row>
    <row r="909" spans="1:26" x14ac:dyDescent="0.3">
      <c r="A909" t="s">
        <v>908</v>
      </c>
      <c r="B909" t="s">
        <v>3302</v>
      </c>
      <c r="C909" t="s">
        <v>3303</v>
      </c>
      <c r="D909" t="s">
        <v>1014</v>
      </c>
      <c r="E909" t="s">
        <v>1020</v>
      </c>
      <c r="F909" t="s">
        <v>2043</v>
      </c>
      <c r="G909" t="s">
        <v>3304</v>
      </c>
      <c r="H909" s="13">
        <v>15052.5</v>
      </c>
      <c r="I909" s="14">
        <v>5768662.04</v>
      </c>
      <c r="J909" t="s">
        <v>1061</v>
      </c>
      <c r="K909" s="10">
        <v>430.36340999999999</v>
      </c>
      <c r="X909" s="10">
        <v>417.60704735849077</v>
      </c>
      <c r="Y909" s="10">
        <v>430.36340999999999</v>
      </c>
      <c r="Z909" s="11" t="str">
        <f t="shared" si="14"/>
        <v/>
      </c>
    </row>
    <row r="910" spans="1:26" x14ac:dyDescent="0.3">
      <c r="A910" t="s">
        <v>909</v>
      </c>
      <c r="B910" t="s">
        <v>3305</v>
      </c>
      <c r="C910" t="s">
        <v>3306</v>
      </c>
      <c r="D910" t="s">
        <v>1015</v>
      </c>
      <c r="E910" t="s">
        <v>1032</v>
      </c>
      <c r="F910" t="s">
        <v>2234</v>
      </c>
      <c r="G910" t="s">
        <v>2754</v>
      </c>
      <c r="H910" s="13">
        <v>36244351</v>
      </c>
      <c r="I910" s="14">
        <v>5763008.5700000003</v>
      </c>
      <c r="J910" t="s">
        <v>1052</v>
      </c>
      <c r="K910" s="10">
        <v>3.2550000000000003E-2</v>
      </c>
      <c r="W910" s="10">
        <v>4.1219574468085107E-2</v>
      </c>
      <c r="X910" s="10">
        <v>3.9220188679245253E-2</v>
      </c>
      <c r="Y910" s="10">
        <v>3.4736341463414637E-2</v>
      </c>
      <c r="Z910" s="11" t="str">
        <f t="shared" si="14"/>
        <v/>
      </c>
    </row>
    <row r="911" spans="1:26" x14ac:dyDescent="0.3">
      <c r="A911" t="s">
        <v>910</v>
      </c>
      <c r="B911" t="s">
        <v>3307</v>
      </c>
      <c r="C911" t="s">
        <v>3243</v>
      </c>
      <c r="D911" t="s">
        <v>1015</v>
      </c>
      <c r="E911" t="s">
        <v>1019</v>
      </c>
      <c r="F911" t="s">
        <v>2790</v>
      </c>
      <c r="G911" t="s">
        <v>1955</v>
      </c>
      <c r="H911" s="13">
        <v>50568216.5</v>
      </c>
      <c r="I911" s="14">
        <v>5760660.9699999997</v>
      </c>
      <c r="J911" t="s">
        <v>1052</v>
      </c>
      <c r="K911" s="10">
        <v>2.315E-2</v>
      </c>
      <c r="W911" s="10">
        <v>2.26892E-2</v>
      </c>
      <c r="X911" s="10">
        <v>2.3730377358490571E-2</v>
      </c>
      <c r="Y911" s="10">
        <v>2.3901219512195111E-2</v>
      </c>
      <c r="Z911" s="11" t="str">
        <f t="shared" si="14"/>
        <v/>
      </c>
    </row>
    <row r="912" spans="1:26" x14ac:dyDescent="0.3">
      <c r="A912" t="s">
        <v>911</v>
      </c>
      <c r="B912" t="s">
        <v>3308</v>
      </c>
      <c r="C912" t="s">
        <v>3309</v>
      </c>
      <c r="D912" t="s">
        <v>1014</v>
      </c>
      <c r="E912" t="s">
        <v>1027</v>
      </c>
      <c r="F912" t="s">
        <v>1055</v>
      </c>
      <c r="G912" t="s">
        <v>3310</v>
      </c>
      <c r="H912" s="13">
        <v>287160</v>
      </c>
      <c r="I912" s="14">
        <v>5753861.6600000001</v>
      </c>
      <c r="J912" t="s">
        <v>1052</v>
      </c>
      <c r="K912" s="10">
        <v>21.159279999999999</v>
      </c>
      <c r="N912" s="10">
        <v>13.50324884615385</v>
      </c>
      <c r="O912" s="10">
        <v>15.7923323076923</v>
      </c>
      <c r="P912" s="10">
        <v>17.494905769230751</v>
      </c>
      <c r="Q912" s="10">
        <v>19.11894384615384</v>
      </c>
      <c r="R912" s="10">
        <v>19.149988076923069</v>
      </c>
      <c r="S912" s="10">
        <v>19.179777169811342</v>
      </c>
      <c r="T912" s="10">
        <v>19.149673846153831</v>
      </c>
      <c r="U912" s="10">
        <v>19.202758846153849</v>
      </c>
      <c r="V912" s="10">
        <v>19.189429999999991</v>
      </c>
      <c r="W912" s="10">
        <v>19.215608076923079</v>
      </c>
      <c r="X912" s="10">
        <v>20.193154716981141</v>
      </c>
      <c r="Y912" s="10">
        <v>21.15942707317074</v>
      </c>
      <c r="Z912" s="11">
        <f t="shared" si="14"/>
        <v>5.4473489999999999E-2</v>
      </c>
    </row>
    <row r="913" spans="1:26" x14ac:dyDescent="0.3">
      <c r="A913" t="s">
        <v>912</v>
      </c>
      <c r="B913" t="s">
        <v>3311</v>
      </c>
      <c r="C913" t="s">
        <v>2759</v>
      </c>
      <c r="D913" t="s">
        <v>1015</v>
      </c>
      <c r="E913" t="s">
        <v>1018</v>
      </c>
      <c r="F913" t="s">
        <v>2052</v>
      </c>
      <c r="G913" t="s">
        <v>2760</v>
      </c>
      <c r="H913" s="13">
        <v>23210160.75</v>
      </c>
      <c r="I913" s="14">
        <v>5744300</v>
      </c>
      <c r="J913" t="s">
        <v>1052</v>
      </c>
      <c r="K913" s="10">
        <v>4.9970000000000001E-2</v>
      </c>
      <c r="M913" s="10">
        <v>0.2091218867924528</v>
      </c>
      <c r="N913" s="10">
        <v>0.41006653846153851</v>
      </c>
      <c r="O913" s="10">
        <v>0.21891423076923081</v>
      </c>
      <c r="P913" s="10">
        <v>0.13936499999999999</v>
      </c>
      <c r="Q913" s="10">
        <v>0.1013771153846154</v>
      </c>
      <c r="R913" s="10">
        <v>8.7334615384615386E-2</v>
      </c>
      <c r="S913" s="10">
        <v>7.4137924528301882E-2</v>
      </c>
      <c r="T913" s="10">
        <v>6.4519038461538419E-2</v>
      </c>
      <c r="U913" s="10">
        <v>5.9412500000000007E-2</v>
      </c>
      <c r="V913" s="10">
        <v>5.7843653846153871E-2</v>
      </c>
      <c r="W913" s="10">
        <v>5.1574230769230768E-2</v>
      </c>
      <c r="X913" s="10">
        <v>5.1915471698113218E-2</v>
      </c>
      <c r="Y913" s="10">
        <v>5.065926829268292E-2</v>
      </c>
      <c r="Z913" s="11">
        <f t="shared" si="14"/>
        <v>-0.40555676000000002</v>
      </c>
    </row>
    <row r="914" spans="1:26" x14ac:dyDescent="0.3">
      <c r="A914" t="s">
        <v>913</v>
      </c>
      <c r="B914" t="s">
        <v>3312</v>
      </c>
      <c r="C914" t="s">
        <v>2042</v>
      </c>
      <c r="D914" t="s">
        <v>1015</v>
      </c>
      <c r="E914" t="s">
        <v>1032</v>
      </c>
      <c r="F914" t="s">
        <v>2027</v>
      </c>
      <c r="G914" t="s">
        <v>2582</v>
      </c>
      <c r="H914" s="13">
        <v>194769.87899999999</v>
      </c>
      <c r="I914" s="14">
        <v>5744167.7000000002</v>
      </c>
      <c r="J914" t="s">
        <v>1061</v>
      </c>
      <c r="K914" s="10">
        <v>7.1238299999999999</v>
      </c>
      <c r="V914" s="10">
        <v>18.121123846153861</v>
      </c>
      <c r="W914" s="10">
        <v>14.81081615384616</v>
      </c>
      <c r="X914" s="10">
        <v>11.20763679245283</v>
      </c>
      <c r="Y914" s="10">
        <v>7.7088799999999997</v>
      </c>
      <c r="Z914" s="11" t="str">
        <f t="shared" si="14"/>
        <v/>
      </c>
    </row>
    <row r="915" spans="1:26" x14ac:dyDescent="0.3">
      <c r="A915" t="s">
        <v>914</v>
      </c>
      <c r="B915" t="s">
        <v>3313</v>
      </c>
      <c r="C915" t="s">
        <v>3151</v>
      </c>
      <c r="D915" t="s">
        <v>1015</v>
      </c>
      <c r="E915" t="s">
        <v>1025</v>
      </c>
      <c r="F915" t="s">
        <v>2043</v>
      </c>
      <c r="G915" t="s">
        <v>2252</v>
      </c>
      <c r="H915" s="13">
        <v>946066.21699999995</v>
      </c>
      <c r="I915" s="14">
        <v>5731838.8300000001</v>
      </c>
      <c r="J915" t="s">
        <v>1061</v>
      </c>
      <c r="K915" s="10">
        <v>4.8273299999999999</v>
      </c>
      <c r="M915" s="10">
        <v>8.8461571698113168</v>
      </c>
      <c r="N915" s="10">
        <v>8.3886151923076948</v>
      </c>
      <c r="O915" s="10">
        <v>7.8745992307692294</v>
      </c>
      <c r="P915" s="10">
        <v>7.07604903846154</v>
      </c>
      <c r="Q915" s="10">
        <v>6.3303321153846159</v>
      </c>
      <c r="R915" s="10">
        <v>6.1666307692307702</v>
      </c>
      <c r="S915" s="10">
        <v>5.9918783018867936</v>
      </c>
      <c r="T915" s="10">
        <v>5.5847263461538432</v>
      </c>
      <c r="U915" s="10">
        <v>5.5732521153846157</v>
      </c>
      <c r="V915" s="10">
        <v>5.3616469230769228</v>
      </c>
      <c r="W915" s="10">
        <v>5.0480132692307693</v>
      </c>
      <c r="X915" s="10">
        <v>4.8215250943396217</v>
      </c>
      <c r="Y915" s="10">
        <v>4.6250241463414614</v>
      </c>
      <c r="Z915" s="11">
        <f t="shared" si="14"/>
        <v>-0.21812651</v>
      </c>
    </row>
    <row r="916" spans="1:26" x14ac:dyDescent="0.3">
      <c r="A916" t="s">
        <v>915</v>
      </c>
      <c r="B916" t="s">
        <v>3314</v>
      </c>
      <c r="C916" t="s">
        <v>3315</v>
      </c>
      <c r="D916" t="s">
        <v>1015</v>
      </c>
      <c r="E916" t="s">
        <v>1025</v>
      </c>
      <c r="F916" t="s">
        <v>3316</v>
      </c>
      <c r="G916" t="s">
        <v>3317</v>
      </c>
      <c r="H916" s="13">
        <v>393443.89600000001</v>
      </c>
      <c r="I916" s="14">
        <v>5679341.5599999996</v>
      </c>
      <c r="J916" t="s">
        <v>1061</v>
      </c>
      <c r="K916" s="10">
        <v>9.1383100000000006</v>
      </c>
      <c r="M916" s="10">
        <v>6.0333794339622644</v>
      </c>
      <c r="N916" s="10">
        <v>6.0716174999999977</v>
      </c>
      <c r="O916" s="10">
        <v>6.2062819230769248</v>
      </c>
      <c r="P916" s="10">
        <v>7.2840532692307667</v>
      </c>
      <c r="Q916" s="10">
        <v>7.6961578846153866</v>
      </c>
      <c r="R916" s="10">
        <v>8.0232821153846174</v>
      </c>
      <c r="S916" s="10">
        <v>8.373600000000005</v>
      </c>
      <c r="T916" s="10">
        <v>8.9316000000000013</v>
      </c>
      <c r="U916" s="10">
        <v>8.5435303846153818</v>
      </c>
      <c r="V916" s="10">
        <v>8.1102192307692338</v>
      </c>
      <c r="W916" s="10">
        <v>8.4049367307692275</v>
      </c>
      <c r="X916" s="10">
        <v>9.0054366037735889</v>
      </c>
      <c r="Y916" s="10">
        <v>9.3381978048780443</v>
      </c>
      <c r="Z916" s="11">
        <f t="shared" si="14"/>
        <v>0.12241306</v>
      </c>
    </row>
    <row r="917" spans="1:26" x14ac:dyDescent="0.3">
      <c r="A917" t="s">
        <v>916</v>
      </c>
      <c r="B917" t="s">
        <v>3318</v>
      </c>
      <c r="C917" t="s">
        <v>2926</v>
      </c>
      <c r="D917" t="s">
        <v>1015</v>
      </c>
      <c r="E917" t="s">
        <v>1027</v>
      </c>
      <c r="F917" t="s">
        <v>1837</v>
      </c>
      <c r="G917" t="s">
        <v>2741</v>
      </c>
      <c r="H917" s="13">
        <v>30411026</v>
      </c>
      <c r="I917" s="14">
        <v>5671311.9199999999</v>
      </c>
      <c r="J917" t="s">
        <v>1052</v>
      </c>
      <c r="K917" s="10">
        <v>3.4790000000000001E-2</v>
      </c>
      <c r="P917" s="10">
        <v>4.7865384615384622E-2</v>
      </c>
      <c r="Q917" s="10">
        <v>4.4779423076923057E-2</v>
      </c>
      <c r="R917" s="10">
        <v>4.5134038461538448E-2</v>
      </c>
      <c r="S917" s="10">
        <v>4.886528301886793E-2</v>
      </c>
      <c r="T917" s="10">
        <v>4.8876923076923082E-2</v>
      </c>
      <c r="U917" s="10">
        <v>4.2966730769230778E-2</v>
      </c>
      <c r="V917" s="10">
        <v>4.2143653846153872E-2</v>
      </c>
      <c r="W917" s="10">
        <v>3.7673269230769212E-2</v>
      </c>
      <c r="X917" s="10">
        <v>3.6202830188679251E-2</v>
      </c>
      <c r="Y917" s="10">
        <v>3.5421463414634161E-2</v>
      </c>
      <c r="Z917" s="11">
        <f t="shared" si="14"/>
        <v>-0.19788188000000001</v>
      </c>
    </row>
    <row r="918" spans="1:26" x14ac:dyDescent="0.3">
      <c r="A918" t="s">
        <v>917</v>
      </c>
      <c r="B918" t="s">
        <v>3319</v>
      </c>
      <c r="C918" t="s">
        <v>2802</v>
      </c>
      <c r="D918" t="s">
        <v>1015</v>
      </c>
      <c r="E918" t="s">
        <v>1018</v>
      </c>
      <c r="F918" t="s">
        <v>1837</v>
      </c>
      <c r="G918" t="s">
        <v>2804</v>
      </c>
      <c r="H918" s="13">
        <v>29667955.75</v>
      </c>
      <c r="I918" s="14">
        <v>5667894.8499999996</v>
      </c>
      <c r="J918" t="s">
        <v>1052</v>
      </c>
      <c r="K918" s="10">
        <v>1.4789999999999999E-2</v>
      </c>
      <c r="O918" s="10">
        <v>2.4667115384615391E-2</v>
      </c>
      <c r="P918" s="10">
        <v>2.1430384615384619E-2</v>
      </c>
      <c r="Q918" s="10">
        <v>1.9552884615384621E-2</v>
      </c>
      <c r="R918" s="10">
        <v>1.9573269230769231E-2</v>
      </c>
      <c r="S918" s="10">
        <v>1.9922641509433969E-2</v>
      </c>
      <c r="T918" s="10">
        <v>1.5816538461538469E-2</v>
      </c>
      <c r="U918" s="10">
        <v>1.6155961538461539E-2</v>
      </c>
      <c r="V918" s="10">
        <v>1.5947115384615389E-2</v>
      </c>
      <c r="W918" s="10">
        <v>1.6606346153846159E-2</v>
      </c>
      <c r="X918" s="10">
        <v>1.6890188679245279E-2</v>
      </c>
      <c r="Y918" s="10">
        <v>1.550487804878049E-2</v>
      </c>
      <c r="Z918" s="11">
        <f t="shared" si="14"/>
        <v>-0.13707881</v>
      </c>
    </row>
    <row r="919" spans="1:26" x14ac:dyDescent="0.3">
      <c r="A919" t="s">
        <v>918</v>
      </c>
      <c r="B919" t="s">
        <v>3320</v>
      </c>
      <c r="C919" t="s">
        <v>3321</v>
      </c>
      <c r="D919" t="s">
        <v>1014</v>
      </c>
      <c r="E919" t="s">
        <v>1027</v>
      </c>
      <c r="F919" t="s">
        <v>2211</v>
      </c>
      <c r="G919" t="s">
        <v>2212</v>
      </c>
      <c r="H919" s="13">
        <v>191634.5</v>
      </c>
      <c r="I919" s="14">
        <v>5663633.4500000002</v>
      </c>
      <c r="J919" t="s">
        <v>1052</v>
      </c>
      <c r="K919" s="10">
        <v>30.498460000000001</v>
      </c>
      <c r="R919" s="10">
        <v>18.741399999999999</v>
      </c>
      <c r="S919" s="10">
        <v>20.727988113207552</v>
      </c>
      <c r="T919" s="10">
        <v>24.495351153846151</v>
      </c>
      <c r="U919" s="10">
        <v>26.70104173076923</v>
      </c>
      <c r="V919" s="10">
        <v>27.920910000000021</v>
      </c>
      <c r="X919" s="10">
        <v>29.328767358490559</v>
      </c>
      <c r="Y919" s="10">
        <v>30.405724390243901</v>
      </c>
      <c r="Z919" s="11">
        <f t="shared" si="14"/>
        <v>0.5649187</v>
      </c>
    </row>
    <row r="920" spans="1:26" x14ac:dyDescent="0.3">
      <c r="A920" t="s">
        <v>919</v>
      </c>
      <c r="B920" t="s">
        <v>3322</v>
      </c>
      <c r="C920" t="s">
        <v>3323</v>
      </c>
      <c r="D920" t="s">
        <v>1015</v>
      </c>
      <c r="E920" t="s">
        <v>1027</v>
      </c>
      <c r="F920" t="s">
        <v>1551</v>
      </c>
      <c r="G920" t="s">
        <v>3324</v>
      </c>
      <c r="H920" s="13">
        <v>13355167.515000001</v>
      </c>
      <c r="I920" s="14">
        <v>5663570.4900000002</v>
      </c>
      <c r="J920" t="s">
        <v>1052</v>
      </c>
      <c r="K920" s="10">
        <v>0.13256000000000001</v>
      </c>
      <c r="R920" s="10">
        <v>0.4039071428571428</v>
      </c>
      <c r="S920" s="10">
        <v>0.33063245283018872</v>
      </c>
      <c r="T920" s="10">
        <v>0.28440557692307677</v>
      </c>
      <c r="U920" s="10">
        <v>0.24886961538461541</v>
      </c>
      <c r="V920" s="10">
        <v>0.20422884615384621</v>
      </c>
      <c r="W920" s="10">
        <v>0.185835</v>
      </c>
      <c r="X920" s="10">
        <v>0.1708330188679246</v>
      </c>
      <c r="Y920" s="10">
        <v>0.14698390243902429</v>
      </c>
      <c r="Z920" s="11">
        <f t="shared" si="14"/>
        <v>-0.57704878000000004</v>
      </c>
    </row>
    <row r="921" spans="1:26" x14ac:dyDescent="0.3">
      <c r="A921" t="s">
        <v>920</v>
      </c>
      <c r="B921" t="s">
        <v>3325</v>
      </c>
      <c r="C921" t="s">
        <v>2238</v>
      </c>
      <c r="D921" t="s">
        <v>1015</v>
      </c>
      <c r="E921" t="s">
        <v>1026</v>
      </c>
      <c r="F921" t="s">
        <v>2108</v>
      </c>
      <c r="G921" t="s">
        <v>2239</v>
      </c>
      <c r="H921" s="13">
        <v>69930054.714000002</v>
      </c>
      <c r="I921" s="14">
        <v>5651830.7599999998</v>
      </c>
      <c r="J921" t="s">
        <v>1061</v>
      </c>
      <c r="K921" s="10">
        <v>3.9629999999999999E-2</v>
      </c>
      <c r="M921" s="10">
        <v>3.1276792452830202E-2</v>
      </c>
      <c r="N921" s="10">
        <v>2.9533846153846161E-2</v>
      </c>
      <c r="O921" s="10">
        <v>3.1529423076923087E-2</v>
      </c>
      <c r="P921" s="10">
        <v>2.72228846153846E-2</v>
      </c>
      <c r="Q921" s="10">
        <v>2.465826923076923E-2</v>
      </c>
      <c r="R921" s="10">
        <v>2.2796538461538458E-2</v>
      </c>
      <c r="S921" s="10">
        <v>2.397716981132075E-2</v>
      </c>
      <c r="T921" s="10">
        <v>2.503096153846153E-2</v>
      </c>
      <c r="U921" s="10">
        <v>2.5705192307692311E-2</v>
      </c>
      <c r="V921" s="10">
        <v>2.966788461538462E-2</v>
      </c>
      <c r="W921" s="10">
        <v>3.5323653846153838E-2</v>
      </c>
      <c r="X921" s="10">
        <v>3.9717169811320743E-2</v>
      </c>
      <c r="Y921" s="10">
        <v>3.9336341463414623E-2</v>
      </c>
      <c r="Z921" s="11">
        <f t="shared" si="14"/>
        <v>0.74224564000000004</v>
      </c>
    </row>
    <row r="922" spans="1:26" x14ac:dyDescent="0.3">
      <c r="A922" t="s">
        <v>921</v>
      </c>
      <c r="B922" t="s">
        <v>3326</v>
      </c>
      <c r="C922" t="s">
        <v>3327</v>
      </c>
      <c r="D922" t="s">
        <v>1015</v>
      </c>
      <c r="E922" t="s">
        <v>1027</v>
      </c>
      <c r="F922" t="s">
        <v>2244</v>
      </c>
      <c r="G922" t="s">
        <v>2503</v>
      </c>
      <c r="H922" s="13">
        <v>22410284.899999999</v>
      </c>
      <c r="I922" s="14">
        <v>5651284.9100000001</v>
      </c>
      <c r="J922" t="s">
        <v>1061</v>
      </c>
      <c r="K922" s="10">
        <v>0.11022999999999999</v>
      </c>
      <c r="V922" s="10">
        <v>0.37228117647058823</v>
      </c>
      <c r="W922" s="10">
        <v>0.28255557692307681</v>
      </c>
      <c r="X922" s="10">
        <v>0.20047641509433961</v>
      </c>
      <c r="Y922" s="10">
        <v>0.12925707317073171</v>
      </c>
      <c r="Z922" s="11" t="str">
        <f t="shared" si="14"/>
        <v/>
      </c>
    </row>
    <row r="923" spans="1:26" x14ac:dyDescent="0.3">
      <c r="A923" t="s">
        <v>922</v>
      </c>
      <c r="B923" t="s">
        <v>3328</v>
      </c>
      <c r="C923" t="s">
        <v>3329</v>
      </c>
      <c r="D923" t="s">
        <v>1015</v>
      </c>
      <c r="E923" t="s">
        <v>1027</v>
      </c>
      <c r="F923" t="s">
        <v>1624</v>
      </c>
      <c r="G923" t="s">
        <v>2986</v>
      </c>
      <c r="H923" s="13">
        <v>1255634</v>
      </c>
      <c r="I923" s="14">
        <v>5650807.1299999999</v>
      </c>
      <c r="J923" t="s">
        <v>1052</v>
      </c>
      <c r="K923" s="10">
        <v>2.6398299999999999</v>
      </c>
      <c r="W923" s="10">
        <v>4.6162155769230768</v>
      </c>
      <c r="X923" s="10">
        <v>4.1378454716981148</v>
      </c>
      <c r="Y923" s="10">
        <v>2.8296051219512202</v>
      </c>
      <c r="Z923" s="11" t="str">
        <f t="shared" si="14"/>
        <v/>
      </c>
    </row>
    <row r="924" spans="1:26" x14ac:dyDescent="0.3">
      <c r="A924" t="s">
        <v>923</v>
      </c>
      <c r="B924" t="s">
        <v>3330</v>
      </c>
      <c r="C924" t="s">
        <v>3331</v>
      </c>
      <c r="D924" t="s">
        <v>1014</v>
      </c>
      <c r="E924" t="s">
        <v>1032</v>
      </c>
      <c r="F924" t="s">
        <v>3332</v>
      </c>
      <c r="G924" t="s">
        <v>3333</v>
      </c>
      <c r="H924" s="13">
        <v>16402</v>
      </c>
      <c r="I924" s="14">
        <v>5645004.7599999998</v>
      </c>
      <c r="J924" t="s">
        <v>1052</v>
      </c>
      <c r="K924" s="10">
        <v>359.49229000000003</v>
      </c>
      <c r="X924" s="10">
        <v>339.36668913043468</v>
      </c>
      <c r="Y924" s="10">
        <v>359.26591365853648</v>
      </c>
      <c r="Z924" s="11" t="str">
        <f t="shared" si="14"/>
        <v/>
      </c>
    </row>
    <row r="925" spans="1:26" x14ac:dyDescent="0.3">
      <c r="A925" t="s">
        <v>924</v>
      </c>
      <c r="B925" t="s">
        <v>3334</v>
      </c>
      <c r="C925" t="s">
        <v>3335</v>
      </c>
      <c r="D925" t="s">
        <v>1014</v>
      </c>
      <c r="E925" t="s">
        <v>1020</v>
      </c>
      <c r="F925" t="s">
        <v>1055</v>
      </c>
      <c r="G925" t="s">
        <v>3336</v>
      </c>
      <c r="H925" s="13">
        <v>3206902.5</v>
      </c>
      <c r="I925" s="14">
        <v>5600324.6399999997</v>
      </c>
      <c r="J925" t="s">
        <v>1052</v>
      </c>
      <c r="K925" s="10">
        <v>1.66208</v>
      </c>
      <c r="M925" s="10">
        <v>0.81547452830188716</v>
      </c>
      <c r="N925" s="10">
        <v>0.93113480769230683</v>
      </c>
      <c r="O925" s="10">
        <v>1.0115594230769229</v>
      </c>
      <c r="P925" s="10">
        <v>1.0825528846153849</v>
      </c>
      <c r="Q925" s="10">
        <v>1.135741153846153</v>
      </c>
      <c r="R925" s="10">
        <v>1.188075384615384</v>
      </c>
      <c r="S925" s="10">
        <v>1.244124339622642</v>
      </c>
      <c r="T925" s="10">
        <v>1.3049836538461539</v>
      </c>
      <c r="U925" s="10">
        <v>1.368835</v>
      </c>
      <c r="V925" s="10">
        <v>1.440040384615386</v>
      </c>
      <c r="W925" s="10">
        <v>1.511554230769232</v>
      </c>
      <c r="X925" s="10">
        <v>1.584241886792453</v>
      </c>
      <c r="Y925" s="10">
        <v>1.6616319512195119</v>
      </c>
      <c r="Z925" s="11">
        <f t="shared" si="14"/>
        <v>0.33345233000000002</v>
      </c>
    </row>
    <row r="926" spans="1:26" x14ac:dyDescent="0.3">
      <c r="A926" t="s">
        <v>925</v>
      </c>
      <c r="B926" t="s">
        <v>3337</v>
      </c>
      <c r="C926" t="s">
        <v>3338</v>
      </c>
      <c r="D926" t="s">
        <v>1015</v>
      </c>
      <c r="E926" t="s">
        <v>1025</v>
      </c>
      <c r="F926" t="s">
        <v>2471</v>
      </c>
      <c r="G926" t="s">
        <v>2472</v>
      </c>
      <c r="H926" s="13">
        <v>115797.78</v>
      </c>
      <c r="I926" s="14">
        <v>5595951.2300000004</v>
      </c>
      <c r="J926" t="s">
        <v>1061</v>
      </c>
      <c r="K926" s="10">
        <v>0.51039999999999996</v>
      </c>
      <c r="W926" s="10">
        <v>0.61899000000000026</v>
      </c>
      <c r="X926" s="10">
        <v>0.72182754716981135</v>
      </c>
      <c r="Y926" s="10">
        <v>0.63169121951219531</v>
      </c>
      <c r="Z926" s="11" t="str">
        <f t="shared" si="14"/>
        <v/>
      </c>
    </row>
    <row r="927" spans="1:26" x14ac:dyDescent="0.3">
      <c r="A927" t="s">
        <v>926</v>
      </c>
      <c r="B927" t="s">
        <v>3339</v>
      </c>
      <c r="C927" t="s">
        <v>3340</v>
      </c>
      <c r="D927" t="s">
        <v>1014</v>
      </c>
      <c r="E927" t="s">
        <v>1705</v>
      </c>
      <c r="F927" t="s">
        <v>1270</v>
      </c>
      <c r="G927" t="s">
        <v>3341</v>
      </c>
      <c r="H927" s="13">
        <v>452586.5</v>
      </c>
      <c r="I927" s="14">
        <v>5584136.9100000001</v>
      </c>
      <c r="J927" t="s">
        <v>1052</v>
      </c>
      <c r="K927" s="10">
        <v>12.41691</v>
      </c>
      <c r="M927" s="10">
        <v>7.4436911320754682</v>
      </c>
      <c r="N927" s="10">
        <v>8.9900773076923137</v>
      </c>
      <c r="O927" s="10">
        <v>10.572045384615389</v>
      </c>
      <c r="P927" s="10">
        <v>11.22106826923077</v>
      </c>
      <c r="Q927" s="10">
        <v>12.066171346153849</v>
      </c>
      <c r="R927" s="10">
        <v>12.417377307692311</v>
      </c>
      <c r="S927" s="10">
        <v>12.40244320754716</v>
      </c>
      <c r="T927" s="10">
        <v>12.40987365384615</v>
      </c>
      <c r="U927" s="10">
        <v>12.47177615384614</v>
      </c>
      <c r="V927" s="10">
        <v>12.39610307692308</v>
      </c>
      <c r="W927" s="10">
        <v>12.401057115384621</v>
      </c>
      <c r="X927" s="10">
        <v>12.400805283018871</v>
      </c>
      <c r="Y927" s="10">
        <v>12.43698804878048</v>
      </c>
      <c r="Z927" s="11">
        <f t="shared" si="14"/>
        <v>-1.3345799999999999E-3</v>
      </c>
    </row>
    <row r="928" spans="1:26" x14ac:dyDescent="0.3">
      <c r="A928" t="s">
        <v>927</v>
      </c>
      <c r="B928" t="s">
        <v>3342</v>
      </c>
      <c r="C928" t="s">
        <v>3343</v>
      </c>
      <c r="D928" t="s">
        <v>1015</v>
      </c>
      <c r="E928" t="s">
        <v>1024</v>
      </c>
      <c r="F928" t="s">
        <v>3344</v>
      </c>
      <c r="G928" t="s">
        <v>3345</v>
      </c>
      <c r="H928" s="13">
        <v>10755193.048</v>
      </c>
      <c r="I928" s="14">
        <v>5577544.1900000004</v>
      </c>
      <c r="J928" t="s">
        <v>1052</v>
      </c>
      <c r="K928" s="10">
        <v>0.37257000000000001</v>
      </c>
      <c r="R928" s="10">
        <v>0.63931249999999984</v>
      </c>
      <c r="S928" s="10">
        <v>0.56104905660377358</v>
      </c>
      <c r="T928" s="10">
        <v>0.49329076923076909</v>
      </c>
      <c r="U928" s="10">
        <v>0.41615692307692309</v>
      </c>
      <c r="V928" s="10">
        <v>0.42167692307692339</v>
      </c>
      <c r="W928" s="10">
        <v>0.41960788461538429</v>
      </c>
      <c r="X928" s="10">
        <v>0.36487018867924531</v>
      </c>
      <c r="Y928" s="10">
        <v>0.36807365853658552</v>
      </c>
      <c r="Z928" s="11">
        <f t="shared" si="14"/>
        <v>-0.42927725</v>
      </c>
    </row>
    <row r="929" spans="1:26" x14ac:dyDescent="0.3">
      <c r="A929" t="s">
        <v>928</v>
      </c>
      <c r="B929" t="s">
        <v>3346</v>
      </c>
      <c r="C929" t="s">
        <v>3347</v>
      </c>
      <c r="D929" t="s">
        <v>1015</v>
      </c>
      <c r="E929" t="s">
        <v>1027</v>
      </c>
      <c r="F929" t="s">
        <v>2108</v>
      </c>
      <c r="G929" t="s">
        <v>3348</v>
      </c>
      <c r="H929" s="13">
        <v>25021314</v>
      </c>
      <c r="I929" s="14">
        <v>5570957.6100000003</v>
      </c>
      <c r="J929" t="s">
        <v>1052</v>
      </c>
      <c r="K929" s="10">
        <v>5.1860000000000003E-2</v>
      </c>
      <c r="M929" s="10">
        <v>0.21435361702127659</v>
      </c>
      <c r="N929" s="10">
        <v>0.1806900000000001</v>
      </c>
      <c r="O929" s="10">
        <v>0.1695219230769231</v>
      </c>
      <c r="P929" s="10">
        <v>0.14153192307692311</v>
      </c>
      <c r="Q929" s="10">
        <v>0.1106028846153846</v>
      </c>
      <c r="R929" s="10">
        <v>9.4610384615384596E-2</v>
      </c>
      <c r="S929" s="10">
        <v>7.9617358490566045E-2</v>
      </c>
      <c r="T929" s="10">
        <v>7.4250384615384607E-2</v>
      </c>
      <c r="U929" s="10">
        <v>8.0035384615384647E-2</v>
      </c>
      <c r="V929" s="10">
        <v>7.1732115384615353E-2</v>
      </c>
      <c r="W929" s="10">
        <v>6.5067884615384597E-2</v>
      </c>
      <c r="X929" s="10">
        <v>6.4992075471698121E-2</v>
      </c>
      <c r="Y929" s="10">
        <v>5.3565609756097539E-2</v>
      </c>
      <c r="Z929" s="11">
        <f t="shared" si="14"/>
        <v>-0.31305558</v>
      </c>
    </row>
    <row r="930" spans="1:26" x14ac:dyDescent="0.3">
      <c r="A930" t="s">
        <v>929</v>
      </c>
      <c r="B930" t="s">
        <v>3349</v>
      </c>
      <c r="C930" t="s">
        <v>2883</v>
      </c>
      <c r="D930" t="s">
        <v>1015</v>
      </c>
      <c r="E930" t="s">
        <v>1027</v>
      </c>
      <c r="F930" t="s">
        <v>2079</v>
      </c>
      <c r="G930" t="s">
        <v>2884</v>
      </c>
      <c r="H930" s="13">
        <v>16463645</v>
      </c>
      <c r="I930" s="14">
        <v>5567094.9199999999</v>
      </c>
      <c r="J930" t="s">
        <v>1052</v>
      </c>
      <c r="K930" s="10">
        <v>0.10041</v>
      </c>
      <c r="V930" s="10">
        <v>0.18014949999999999</v>
      </c>
      <c r="W930" s="10">
        <v>0.15534673076923081</v>
      </c>
      <c r="X930" s="10">
        <v>0.1449398113207547</v>
      </c>
      <c r="Y930" s="10">
        <v>0.1087814634146342</v>
      </c>
      <c r="Z930" s="11" t="str">
        <f t="shared" si="14"/>
        <v/>
      </c>
    </row>
    <row r="931" spans="1:26" x14ac:dyDescent="0.3">
      <c r="A931" t="s">
        <v>930</v>
      </c>
      <c r="B931" t="s">
        <v>3350</v>
      </c>
      <c r="C931" t="s">
        <v>3351</v>
      </c>
      <c r="D931" t="s">
        <v>1015</v>
      </c>
      <c r="E931" t="s">
        <v>1020</v>
      </c>
      <c r="F931" t="s">
        <v>1363</v>
      </c>
      <c r="G931" t="s">
        <v>3352</v>
      </c>
      <c r="H931" s="13">
        <v>6296.6</v>
      </c>
      <c r="I931" s="14">
        <v>5551136.4900000002</v>
      </c>
      <c r="J931" t="s">
        <v>1061</v>
      </c>
      <c r="K931" s="10">
        <v>479.95105000000001</v>
      </c>
      <c r="W931" s="10">
        <v>759.51870324324318</v>
      </c>
      <c r="X931" s="10">
        <v>799.37082660377405</v>
      </c>
      <c r="Y931" s="10">
        <v>560.57647414634164</v>
      </c>
      <c r="Z931" s="11" t="str">
        <f t="shared" si="14"/>
        <v/>
      </c>
    </row>
    <row r="932" spans="1:26" x14ac:dyDescent="0.3">
      <c r="A932" t="s">
        <v>931</v>
      </c>
      <c r="B932" t="s">
        <v>3353</v>
      </c>
      <c r="C932" t="s">
        <v>2539</v>
      </c>
      <c r="D932" t="s">
        <v>1015</v>
      </c>
      <c r="E932" t="s">
        <v>1033</v>
      </c>
      <c r="F932" t="s">
        <v>1610</v>
      </c>
      <c r="G932" t="s">
        <v>2512</v>
      </c>
      <c r="H932" s="13">
        <v>578112</v>
      </c>
      <c r="I932" s="14">
        <v>5524317.3700000001</v>
      </c>
      <c r="J932" t="s">
        <v>1052</v>
      </c>
      <c r="K932" s="10">
        <v>9.1767099999999999</v>
      </c>
      <c r="W932" s="10">
        <v>9.8481649999999998</v>
      </c>
      <c r="X932" s="10">
        <v>10.005747924528301</v>
      </c>
      <c r="Y932" s="10">
        <v>9.4511309756097521</v>
      </c>
      <c r="Z932" s="11" t="str">
        <f t="shared" si="14"/>
        <v/>
      </c>
    </row>
    <row r="933" spans="1:26" x14ac:dyDescent="0.3">
      <c r="A933" t="s">
        <v>932</v>
      </c>
      <c r="B933" t="s">
        <v>3354</v>
      </c>
      <c r="C933" t="s">
        <v>3355</v>
      </c>
      <c r="D933" t="s">
        <v>1014</v>
      </c>
      <c r="E933" t="s">
        <v>1018</v>
      </c>
      <c r="F933" t="s">
        <v>1068</v>
      </c>
      <c r="G933" t="s">
        <v>1225</v>
      </c>
      <c r="H933" s="13">
        <v>1494109</v>
      </c>
      <c r="I933" s="14">
        <v>5519799.4400000004</v>
      </c>
      <c r="J933" t="s">
        <v>1061</v>
      </c>
      <c r="K933" s="10">
        <v>3.7742599999999999</v>
      </c>
      <c r="X933" s="10">
        <v>3.698126956521739</v>
      </c>
      <c r="Y933" s="10">
        <v>3.7588121951219531</v>
      </c>
      <c r="Z933" s="11" t="str">
        <f t="shared" si="14"/>
        <v/>
      </c>
    </row>
    <row r="934" spans="1:26" x14ac:dyDescent="0.3">
      <c r="A934" t="s">
        <v>933</v>
      </c>
      <c r="B934" t="s">
        <v>3356</v>
      </c>
      <c r="C934" t="s">
        <v>3357</v>
      </c>
      <c r="D934" t="s">
        <v>1014</v>
      </c>
      <c r="E934" t="s">
        <v>1020</v>
      </c>
      <c r="F934" t="s">
        <v>3283</v>
      </c>
      <c r="G934" t="s">
        <v>3284</v>
      </c>
      <c r="H934" s="13">
        <v>17763.555</v>
      </c>
      <c r="I934" s="14">
        <v>5498337.4299999997</v>
      </c>
      <c r="J934" t="s">
        <v>1061</v>
      </c>
      <c r="K934" s="10">
        <v>316.50058000000001</v>
      </c>
      <c r="S934" s="10">
        <v>244.03603339622649</v>
      </c>
      <c r="T934" s="10">
        <v>256.19795596153853</v>
      </c>
      <c r="U934" s="10">
        <v>270.35687961538463</v>
      </c>
      <c r="V934" s="10">
        <v>290.80291961538438</v>
      </c>
      <c r="W934" s="10">
        <v>299.2475663461538</v>
      </c>
      <c r="X934" s="10">
        <v>307.5086283018868</v>
      </c>
      <c r="Y934" s="10">
        <v>316.88531463414631</v>
      </c>
      <c r="Z934" s="11" t="str">
        <f t="shared" si="14"/>
        <v/>
      </c>
    </row>
    <row r="935" spans="1:26" x14ac:dyDescent="0.3">
      <c r="A935" t="s">
        <v>934</v>
      </c>
      <c r="B935" t="s">
        <v>3358</v>
      </c>
      <c r="C935" t="s">
        <v>3359</v>
      </c>
      <c r="D935" t="s">
        <v>1015</v>
      </c>
      <c r="E935" t="s">
        <v>1027</v>
      </c>
      <c r="F935" t="s">
        <v>2049</v>
      </c>
      <c r="G935" t="s">
        <v>3187</v>
      </c>
      <c r="H935" s="13">
        <v>3226864.1680000001</v>
      </c>
      <c r="I935" s="14">
        <v>5486202.0700000003</v>
      </c>
      <c r="J935" t="s">
        <v>1052</v>
      </c>
      <c r="K935" s="10">
        <v>1.45204</v>
      </c>
      <c r="R935" s="10">
        <v>3.4065657692307698</v>
      </c>
      <c r="S935" s="10">
        <v>3.015290566037736</v>
      </c>
      <c r="T935" s="10">
        <v>1.655666923076923</v>
      </c>
      <c r="U935" s="10">
        <v>1.2591194230769229</v>
      </c>
      <c r="V935" s="10">
        <v>1.1563892307692309</v>
      </c>
      <c r="W935" s="10">
        <v>1.2190380769230771</v>
      </c>
      <c r="X935" s="10">
        <v>1.3516249056603771</v>
      </c>
      <c r="Y935" s="10">
        <v>1.5595051219512199</v>
      </c>
      <c r="Z935" s="11">
        <f t="shared" si="14"/>
        <v>-0.60322947000000005</v>
      </c>
    </row>
    <row r="936" spans="1:26" x14ac:dyDescent="0.3">
      <c r="A936" t="s">
        <v>935</v>
      </c>
      <c r="B936" t="s">
        <v>3360</v>
      </c>
      <c r="C936" t="s">
        <v>3361</v>
      </c>
      <c r="D936" t="s">
        <v>1015</v>
      </c>
      <c r="E936" t="s">
        <v>1027</v>
      </c>
      <c r="F936" t="s">
        <v>2039</v>
      </c>
      <c r="G936" t="s">
        <v>2503</v>
      </c>
      <c r="H936" s="13">
        <v>11980546.5</v>
      </c>
      <c r="I936" s="14">
        <v>5477122.2999999998</v>
      </c>
      <c r="J936" t="s">
        <v>1052</v>
      </c>
      <c r="K936" s="10">
        <v>0.31696000000000002</v>
      </c>
      <c r="M936" s="10">
        <v>0.45170660377358501</v>
      </c>
      <c r="N936" s="10">
        <v>0.44354519230769213</v>
      </c>
      <c r="O936" s="10">
        <v>0.38199192307692331</v>
      </c>
      <c r="P936" s="10">
        <v>0.35409557692307703</v>
      </c>
      <c r="Q936" s="10">
        <v>0.33650750000000001</v>
      </c>
      <c r="R936" s="10">
        <v>0.32020846153846161</v>
      </c>
      <c r="S936" s="10">
        <v>0.37514792452830198</v>
      </c>
      <c r="T936" s="10">
        <v>0.41152115384615379</v>
      </c>
      <c r="U936" s="10">
        <v>0.41524615384615388</v>
      </c>
      <c r="V936" s="10">
        <v>0.3804880769230769</v>
      </c>
      <c r="W936" s="10">
        <v>0.35826307692307691</v>
      </c>
      <c r="X936" s="10">
        <v>0.3457303773584906</v>
      </c>
      <c r="Y936" s="10">
        <v>0.32051170731707318</v>
      </c>
      <c r="Z936" s="11">
        <f t="shared" si="14"/>
        <v>7.9704059999999993E-2</v>
      </c>
    </row>
    <row r="937" spans="1:26" x14ac:dyDescent="0.3">
      <c r="A937" t="s">
        <v>936</v>
      </c>
      <c r="B937" t="s">
        <v>3362</v>
      </c>
      <c r="C937" t="s">
        <v>3363</v>
      </c>
      <c r="D937" t="s">
        <v>1015</v>
      </c>
      <c r="E937" t="s">
        <v>1022</v>
      </c>
      <c r="F937" t="s">
        <v>1571</v>
      </c>
      <c r="G937" t="s">
        <v>3364</v>
      </c>
      <c r="H937" s="13">
        <v>26340905.976</v>
      </c>
      <c r="I937" s="14">
        <v>5473917.0099999998</v>
      </c>
      <c r="J937" t="s">
        <v>1052</v>
      </c>
      <c r="K937" s="10">
        <v>3.4569999999999997E-2</v>
      </c>
      <c r="M937" s="10">
        <v>2.7974905660377362E-2</v>
      </c>
      <c r="N937" s="10">
        <v>3.0596923076923091E-2</v>
      </c>
      <c r="O937" s="10">
        <v>3.2281923076923083E-2</v>
      </c>
      <c r="P937" s="10">
        <v>3.624961538461538E-2</v>
      </c>
      <c r="Q937" s="10">
        <v>3.3270000000000001E-2</v>
      </c>
      <c r="R937" s="10">
        <v>3.2578076923076918E-2</v>
      </c>
      <c r="S937" s="10">
        <v>3.7113584905660357E-2</v>
      </c>
      <c r="T937" s="10">
        <v>3.8436730769230792E-2</v>
      </c>
      <c r="U937" s="10">
        <v>3.4220192307692313E-2</v>
      </c>
      <c r="V937" s="10">
        <v>3.3379038461538467E-2</v>
      </c>
      <c r="W937" s="10">
        <v>3.3427884615384623E-2</v>
      </c>
      <c r="X937" s="10">
        <v>3.4606792452830201E-2</v>
      </c>
      <c r="Y937" s="10">
        <v>3.4746585365853663E-2</v>
      </c>
      <c r="Z937" s="11">
        <f t="shared" si="14"/>
        <v>6.2272420000000002E-2</v>
      </c>
    </row>
    <row r="938" spans="1:26" x14ac:dyDescent="0.3">
      <c r="A938" t="s">
        <v>937</v>
      </c>
      <c r="B938" t="s">
        <v>3365</v>
      </c>
      <c r="C938" t="s">
        <v>2200</v>
      </c>
      <c r="D938" t="s">
        <v>1015</v>
      </c>
      <c r="E938" t="s">
        <v>1030</v>
      </c>
      <c r="F938" t="s">
        <v>2803</v>
      </c>
      <c r="G938" t="s">
        <v>2201</v>
      </c>
      <c r="H938" s="13">
        <v>26963270</v>
      </c>
      <c r="I938" s="14">
        <v>5459599.2000000002</v>
      </c>
      <c r="J938" t="s">
        <v>1052</v>
      </c>
      <c r="K938" s="10">
        <v>5.7290000000000001E-2</v>
      </c>
      <c r="O938" s="10">
        <v>5.5404000000000002E-2</v>
      </c>
      <c r="P938" s="10">
        <v>5.3499615384615382E-2</v>
      </c>
      <c r="Q938" s="10">
        <v>5.7270576923076917E-2</v>
      </c>
      <c r="R938" s="10">
        <v>7.2638076923076916E-2</v>
      </c>
      <c r="S938" s="10">
        <v>8.6160188679245284E-2</v>
      </c>
      <c r="T938" s="10">
        <v>7.9580961538461517E-2</v>
      </c>
      <c r="U938" s="10">
        <v>7.2392499999999957E-2</v>
      </c>
      <c r="V938" s="10">
        <v>6.9134423076923079E-2</v>
      </c>
      <c r="W938" s="10">
        <v>6.1246153846153853E-2</v>
      </c>
      <c r="X938" s="10">
        <v>5.9745660377358477E-2</v>
      </c>
      <c r="Y938" s="10">
        <v>5.6320000000000009E-2</v>
      </c>
      <c r="Z938" s="11">
        <f t="shared" si="14"/>
        <v>-0.17748841000000001</v>
      </c>
    </row>
    <row r="939" spans="1:26" x14ac:dyDescent="0.3">
      <c r="A939" t="s">
        <v>938</v>
      </c>
      <c r="B939" t="s">
        <v>3366</v>
      </c>
      <c r="C939" t="s">
        <v>2484</v>
      </c>
      <c r="D939" t="s">
        <v>1015</v>
      </c>
      <c r="E939" t="s">
        <v>1026</v>
      </c>
      <c r="F939" t="s">
        <v>1941</v>
      </c>
      <c r="G939" t="s">
        <v>2485</v>
      </c>
      <c r="H939" s="13">
        <v>11051826.26</v>
      </c>
      <c r="I939" s="14">
        <v>5456644.3899999997</v>
      </c>
      <c r="J939" t="s">
        <v>1163</v>
      </c>
      <c r="K939" s="10">
        <v>0.14555000000000001</v>
      </c>
      <c r="M939" s="10">
        <v>0.31237226415094338</v>
      </c>
      <c r="N939" s="10">
        <v>0.30781192307692312</v>
      </c>
      <c r="O939" s="10">
        <v>0.29217346153846158</v>
      </c>
      <c r="P939" s="10">
        <v>0.24142442307692311</v>
      </c>
      <c r="Q939" s="10">
        <v>0.21175115384615389</v>
      </c>
      <c r="R939" s="10">
        <v>0.1988525000000001</v>
      </c>
      <c r="S939" s="10">
        <v>0.1934305660377359</v>
      </c>
      <c r="T939" s="10">
        <v>0.1800294230769231</v>
      </c>
      <c r="U939" s="10">
        <v>0.17329480769230771</v>
      </c>
      <c r="V939" s="10">
        <v>0.1774840384615384</v>
      </c>
      <c r="W939" s="10">
        <v>0.16654846153846151</v>
      </c>
      <c r="X939" s="10">
        <v>0.1552632075471698</v>
      </c>
      <c r="Y939" s="10">
        <v>0.13705170731707311</v>
      </c>
      <c r="Z939" s="11">
        <f t="shared" si="14"/>
        <v>-0.21920414999999999</v>
      </c>
    </row>
    <row r="940" spans="1:26" x14ac:dyDescent="0.3">
      <c r="A940" t="s">
        <v>939</v>
      </c>
      <c r="B940" t="s">
        <v>3367</v>
      </c>
      <c r="C940" t="s">
        <v>3368</v>
      </c>
      <c r="D940" t="s">
        <v>1015</v>
      </c>
      <c r="E940" t="s">
        <v>1027</v>
      </c>
      <c r="F940" t="s">
        <v>1551</v>
      </c>
      <c r="G940" t="s">
        <v>3324</v>
      </c>
      <c r="H940" s="13">
        <v>12301046.560000001</v>
      </c>
      <c r="I940" s="14">
        <v>5444504.7199999997</v>
      </c>
      <c r="J940" t="s">
        <v>1052</v>
      </c>
      <c r="K940" s="10">
        <v>0.14767</v>
      </c>
      <c r="R940" s="10">
        <v>0.38437408163265319</v>
      </c>
      <c r="S940" s="10">
        <v>0.35161943396226419</v>
      </c>
      <c r="T940" s="10">
        <v>0.30295423076923078</v>
      </c>
      <c r="U940" s="10">
        <v>0.26331288461538449</v>
      </c>
      <c r="V940" s="10">
        <v>0.2222257692307692</v>
      </c>
      <c r="W940" s="10">
        <v>0.2026911538461538</v>
      </c>
      <c r="X940" s="10">
        <v>0.200998679245283</v>
      </c>
      <c r="Y940" s="10">
        <v>0.1822182926829268</v>
      </c>
      <c r="Z940" s="11">
        <f t="shared" si="14"/>
        <v>-0.47707536</v>
      </c>
    </row>
    <row r="941" spans="1:26" x14ac:dyDescent="0.3">
      <c r="A941" t="s">
        <v>940</v>
      </c>
      <c r="B941" t="s">
        <v>3369</v>
      </c>
      <c r="C941" t="s">
        <v>3370</v>
      </c>
      <c r="D941" t="s">
        <v>1015</v>
      </c>
      <c r="E941" t="s">
        <v>1032</v>
      </c>
      <c r="F941" t="s">
        <v>1485</v>
      </c>
      <c r="G941" t="s">
        <v>1611</v>
      </c>
      <c r="H941" s="13">
        <v>22206948.385000002</v>
      </c>
      <c r="I941" s="14">
        <v>5442943.4000000004</v>
      </c>
      <c r="J941" t="s">
        <v>1061</v>
      </c>
      <c r="K941" s="10">
        <v>0.19789999999999999</v>
      </c>
      <c r="V941" s="10">
        <v>0.20300211538461549</v>
      </c>
      <c r="W941" s="10">
        <v>0.1921740384615386</v>
      </c>
      <c r="X941" s="10">
        <v>0.19305905660377351</v>
      </c>
      <c r="Y941" s="10">
        <v>0.1919434146341463</v>
      </c>
      <c r="Z941" s="11" t="str">
        <f t="shared" si="14"/>
        <v/>
      </c>
    </row>
    <row r="942" spans="1:26" x14ac:dyDescent="0.3">
      <c r="A942" t="s">
        <v>941</v>
      </c>
      <c r="B942" t="s">
        <v>3371</v>
      </c>
      <c r="C942" t="s">
        <v>3372</v>
      </c>
      <c r="D942" t="s">
        <v>1015</v>
      </c>
      <c r="E942" t="s">
        <v>1026</v>
      </c>
      <c r="F942" t="s">
        <v>2844</v>
      </c>
      <c r="G942" t="s">
        <v>3373</v>
      </c>
      <c r="H942" s="13">
        <v>4608293.05</v>
      </c>
      <c r="I942" s="14">
        <v>5442724.3700000001</v>
      </c>
      <c r="J942" t="s">
        <v>1061</v>
      </c>
      <c r="K942" s="10">
        <v>0.91229000000000005</v>
      </c>
      <c r="S942" s="10">
        <v>2.1781891428571432</v>
      </c>
      <c r="T942" s="10">
        <v>2.0848025000000008</v>
      </c>
      <c r="U942" s="10">
        <v>1.856158846153845</v>
      </c>
      <c r="V942" s="10">
        <v>1.483443461538462</v>
      </c>
      <c r="W942" s="10">
        <v>1.1599919230769229</v>
      </c>
      <c r="X942" s="10">
        <v>1.0543516981132079</v>
      </c>
      <c r="Y942" s="10">
        <v>0.90011658536585359</v>
      </c>
      <c r="Z942" s="11" t="str">
        <f t="shared" si="14"/>
        <v/>
      </c>
    </row>
    <row r="943" spans="1:26" x14ac:dyDescent="0.3">
      <c r="A943" t="s">
        <v>942</v>
      </c>
      <c r="B943" t="s">
        <v>3374</v>
      </c>
      <c r="C943" t="s">
        <v>3375</v>
      </c>
      <c r="D943" t="s">
        <v>1015</v>
      </c>
      <c r="E943" t="s">
        <v>1021</v>
      </c>
      <c r="F943" t="s">
        <v>2829</v>
      </c>
      <c r="G943" t="s">
        <v>2916</v>
      </c>
      <c r="H943" s="13">
        <v>3811661</v>
      </c>
      <c r="I943" s="14">
        <v>5432654.46</v>
      </c>
      <c r="J943" t="s">
        <v>1163</v>
      </c>
      <c r="K943" s="10">
        <v>1.0504899999999999</v>
      </c>
      <c r="P943" s="10">
        <v>3.3787300000000009</v>
      </c>
      <c r="Q943" s="10">
        <v>3.102540961538462</v>
      </c>
      <c r="R943" s="10">
        <v>2.6492978846153838</v>
      </c>
      <c r="S943" s="10">
        <v>2.3807664150943388</v>
      </c>
      <c r="T943" s="10">
        <v>2.285664807692307</v>
      </c>
      <c r="U943" s="10">
        <v>1.856557115384615</v>
      </c>
      <c r="V943" s="10">
        <v>1.722014999999999</v>
      </c>
      <c r="W943" s="10">
        <v>1.446336538461539</v>
      </c>
      <c r="X943" s="10">
        <v>1.3947020754716981</v>
      </c>
      <c r="Y943" s="10">
        <v>0.95795292682926803</v>
      </c>
      <c r="Z943" s="11">
        <f t="shared" si="14"/>
        <v>-0.47355785</v>
      </c>
    </row>
    <row r="944" spans="1:26" x14ac:dyDescent="0.3">
      <c r="A944" t="s">
        <v>943</v>
      </c>
      <c r="B944" t="s">
        <v>3376</v>
      </c>
      <c r="C944" t="s">
        <v>3377</v>
      </c>
      <c r="D944" t="s">
        <v>1015</v>
      </c>
      <c r="E944" t="s">
        <v>1022</v>
      </c>
      <c r="F944" t="s">
        <v>2844</v>
      </c>
      <c r="G944" t="s">
        <v>3378</v>
      </c>
      <c r="H944" s="13">
        <v>12729380.460000001</v>
      </c>
      <c r="I944" s="14">
        <v>5421640.7699999996</v>
      </c>
      <c r="J944" t="s">
        <v>1061</v>
      </c>
      <c r="K944" s="10">
        <v>0.13045999999999999</v>
      </c>
      <c r="T944" s="10">
        <v>1.101927586206896</v>
      </c>
      <c r="U944" s="10">
        <v>0.78991961538461553</v>
      </c>
      <c r="V944" s="10">
        <v>0.6139521153846158</v>
      </c>
      <c r="W944" s="10">
        <v>0.4563425000000001</v>
      </c>
      <c r="X944" s="10">
        <v>0.25458188679245281</v>
      </c>
      <c r="Y944" s="10">
        <v>0.1529704878048781</v>
      </c>
      <c r="Z944" s="11" t="str">
        <f t="shared" si="14"/>
        <v/>
      </c>
    </row>
    <row r="945" spans="1:26" x14ac:dyDescent="0.3">
      <c r="A945" t="s">
        <v>944</v>
      </c>
      <c r="B945" t="s">
        <v>3379</v>
      </c>
      <c r="C945" t="s">
        <v>3184</v>
      </c>
      <c r="D945" t="s">
        <v>1015</v>
      </c>
      <c r="E945" t="s">
        <v>1027</v>
      </c>
      <c r="F945" t="s">
        <v>1610</v>
      </c>
      <c r="G945" t="s">
        <v>2884</v>
      </c>
      <c r="H945" s="13">
        <v>17384551</v>
      </c>
      <c r="I945" s="14">
        <v>5418211.4100000001</v>
      </c>
      <c r="J945" t="s">
        <v>1052</v>
      </c>
      <c r="K945" s="10">
        <v>7.8460000000000002E-2</v>
      </c>
      <c r="P945" s="10">
        <v>0.38963900000000012</v>
      </c>
      <c r="Q945" s="10">
        <v>0.32957038461538452</v>
      </c>
      <c r="R945" s="10">
        <v>0.25972134615384612</v>
      </c>
      <c r="S945" s="10">
        <v>0.1919111320754717</v>
      </c>
      <c r="T945" s="10">
        <v>0.1610978846153846</v>
      </c>
      <c r="U945" s="10">
        <v>0.124446923076923</v>
      </c>
      <c r="V945" s="10">
        <v>0.1027478846153846</v>
      </c>
      <c r="W945" s="10">
        <v>0.10641634615384619</v>
      </c>
      <c r="X945" s="10">
        <v>9.9138113207547174E-2</v>
      </c>
      <c r="Y945" s="10">
        <v>7.950634146341462E-2</v>
      </c>
      <c r="Z945" s="11">
        <f t="shared" si="14"/>
        <v>-0.61829047000000004</v>
      </c>
    </row>
    <row r="946" spans="1:26" x14ac:dyDescent="0.3">
      <c r="A946" t="s">
        <v>945</v>
      </c>
      <c r="B946" t="s">
        <v>3380</v>
      </c>
      <c r="C946" t="s">
        <v>3381</v>
      </c>
      <c r="D946" t="s">
        <v>1015</v>
      </c>
      <c r="E946" t="s">
        <v>1027</v>
      </c>
      <c r="F946" t="s">
        <v>3013</v>
      </c>
      <c r="G946" t="s">
        <v>2617</v>
      </c>
      <c r="H946" s="13">
        <v>5431036</v>
      </c>
      <c r="I946" s="14">
        <v>5413202.3700000001</v>
      </c>
      <c r="J946" t="s">
        <v>1052</v>
      </c>
      <c r="K946" s="10">
        <v>0.59655999999999998</v>
      </c>
      <c r="V946" s="10">
        <v>0.63995766666666676</v>
      </c>
      <c r="W946" s="10">
        <v>0.54936115384615358</v>
      </c>
      <c r="X946" s="10">
        <v>0.66977415094339665</v>
      </c>
      <c r="Y946" s="10">
        <v>0.60303658536585358</v>
      </c>
      <c r="Z946" s="11" t="str">
        <f t="shared" si="14"/>
        <v/>
      </c>
    </row>
    <row r="947" spans="1:26" x14ac:dyDescent="0.3">
      <c r="A947" t="s">
        <v>946</v>
      </c>
      <c r="B947" t="s">
        <v>3382</v>
      </c>
      <c r="C947" t="s">
        <v>2282</v>
      </c>
      <c r="D947" t="s">
        <v>1015</v>
      </c>
      <c r="E947" t="s">
        <v>1022</v>
      </c>
      <c r="F947" t="s">
        <v>2108</v>
      </c>
      <c r="G947" t="s">
        <v>2283</v>
      </c>
      <c r="H947" s="13">
        <v>29362541.949999999</v>
      </c>
      <c r="I947" s="14">
        <v>5411206.5099999998</v>
      </c>
      <c r="J947" t="s">
        <v>1052</v>
      </c>
      <c r="K947" s="10">
        <v>4.9820000000000003E-2</v>
      </c>
      <c r="R947" s="10">
        <v>6.8846923076923083E-2</v>
      </c>
      <c r="S947" s="10">
        <v>6.5758867924528341E-2</v>
      </c>
      <c r="T947" s="10">
        <v>6.3779807692307705E-2</v>
      </c>
      <c r="U947" s="10">
        <v>6.0263269230769197E-2</v>
      </c>
      <c r="V947" s="10">
        <v>5.6588076923076949E-2</v>
      </c>
      <c r="W947" s="10">
        <v>5.0419423076923077E-2</v>
      </c>
      <c r="X947" s="10">
        <v>5.2112641509433982E-2</v>
      </c>
      <c r="Y947" s="10">
        <v>5.0483414634146351E-2</v>
      </c>
      <c r="Z947" s="11">
        <f t="shared" si="14"/>
        <v>-0.24306506</v>
      </c>
    </row>
    <row r="948" spans="1:26" x14ac:dyDescent="0.3">
      <c r="A948" t="s">
        <v>947</v>
      </c>
      <c r="B948" t="s">
        <v>3383</v>
      </c>
      <c r="C948" t="s">
        <v>2930</v>
      </c>
      <c r="D948" t="s">
        <v>1015</v>
      </c>
      <c r="E948" t="s">
        <v>1027</v>
      </c>
      <c r="F948" t="s">
        <v>3384</v>
      </c>
      <c r="G948" t="s">
        <v>2904</v>
      </c>
      <c r="H948" s="13">
        <v>24910553</v>
      </c>
      <c r="I948" s="14">
        <v>5408655.3200000003</v>
      </c>
      <c r="J948" t="s">
        <v>1052</v>
      </c>
      <c r="K948" s="10">
        <v>3.9449999999999999E-2</v>
      </c>
      <c r="M948" s="10">
        <v>0.1372717777777778</v>
      </c>
      <c r="N948" s="10">
        <v>0.12881365384615381</v>
      </c>
      <c r="O948" s="10">
        <v>0.1078005769230769</v>
      </c>
      <c r="P948" s="10">
        <v>8.1758846153846126E-2</v>
      </c>
      <c r="Q948" s="10">
        <v>6.7285961538461517E-2</v>
      </c>
      <c r="R948" s="10">
        <v>6.3195192307692313E-2</v>
      </c>
      <c r="S948" s="10">
        <v>6.4511698113207561E-2</v>
      </c>
      <c r="T948" s="10">
        <v>5.8014807692307699E-2</v>
      </c>
      <c r="U948" s="10">
        <v>4.9749807692307663E-2</v>
      </c>
      <c r="V948" s="10">
        <v>5.0170769230769213E-2</v>
      </c>
      <c r="W948" s="10">
        <v>4.5466346153846149E-2</v>
      </c>
      <c r="X948" s="10">
        <v>4.405811320754717E-2</v>
      </c>
      <c r="Y948" s="10">
        <v>4.0363902439024393E-2</v>
      </c>
      <c r="Z948" s="11">
        <f t="shared" si="14"/>
        <v>-0.30282492</v>
      </c>
    </row>
    <row r="949" spans="1:26" x14ac:dyDescent="0.3">
      <c r="A949" t="s">
        <v>948</v>
      </c>
      <c r="B949" t="s">
        <v>3385</v>
      </c>
      <c r="C949" t="s">
        <v>3386</v>
      </c>
      <c r="D949" t="s">
        <v>1014</v>
      </c>
      <c r="E949" t="s">
        <v>1027</v>
      </c>
      <c r="F949" t="s">
        <v>1815</v>
      </c>
      <c r="G949" t="s">
        <v>1816</v>
      </c>
      <c r="H949" s="13">
        <v>436327</v>
      </c>
      <c r="I949" s="14">
        <v>5403297.8600000003</v>
      </c>
      <c r="J949" t="s">
        <v>1052</v>
      </c>
      <c r="K949" s="10">
        <v>12.610340000000001</v>
      </c>
      <c r="M949" s="10">
        <v>5.6281284905660369</v>
      </c>
      <c r="N949" s="10">
        <v>6.9099173076923117</v>
      </c>
      <c r="O949" s="10">
        <v>8.2591326923076949</v>
      </c>
      <c r="P949" s="10">
        <v>9.5539938461538512</v>
      </c>
      <c r="Q949" s="10">
        <v>10.679436346153841</v>
      </c>
      <c r="R949" s="10">
        <v>11.415305769230759</v>
      </c>
      <c r="S949" s="10">
        <v>12.10451641509434</v>
      </c>
      <c r="T949" s="10">
        <v>12.603478269230781</v>
      </c>
      <c r="U949" s="10">
        <v>12.690749999999991</v>
      </c>
      <c r="V949" s="10">
        <v>12.60468</v>
      </c>
      <c r="W949" s="10">
        <v>12.647422499999999</v>
      </c>
      <c r="X949" s="10">
        <v>12.618789433962259</v>
      </c>
      <c r="Y949" s="10">
        <v>12.607932926829269</v>
      </c>
      <c r="Z949" s="11">
        <f t="shared" si="14"/>
        <v>0.10542719</v>
      </c>
    </row>
    <row r="950" spans="1:26" x14ac:dyDescent="0.3">
      <c r="A950" t="s">
        <v>949</v>
      </c>
      <c r="B950" t="s">
        <v>3387</v>
      </c>
      <c r="C950" t="s">
        <v>2928</v>
      </c>
      <c r="D950" t="s">
        <v>1015</v>
      </c>
      <c r="E950" t="s">
        <v>1030</v>
      </c>
      <c r="F950" t="s">
        <v>2677</v>
      </c>
      <c r="G950" t="s">
        <v>2871</v>
      </c>
      <c r="H950" s="13">
        <v>3200040.0210000002</v>
      </c>
      <c r="I950" s="14">
        <v>5402021.2400000002</v>
      </c>
      <c r="J950" t="s">
        <v>1052</v>
      </c>
      <c r="K950" s="10">
        <v>1.85466</v>
      </c>
      <c r="M950" s="10">
        <v>1.8347792452830189</v>
      </c>
      <c r="N950" s="10">
        <v>1.7643169230769229</v>
      </c>
      <c r="O950" s="10">
        <v>1.722199423076924</v>
      </c>
      <c r="P950" s="10">
        <v>1.6831411538461549</v>
      </c>
      <c r="Q950" s="10">
        <v>1.679990769230769</v>
      </c>
      <c r="R950" s="10">
        <v>1.6729296153846149</v>
      </c>
      <c r="S950" s="10">
        <v>1.678227358490566</v>
      </c>
      <c r="T950" s="10">
        <v>1.7049644230769241</v>
      </c>
      <c r="U950" s="10">
        <v>1.6323525000000001</v>
      </c>
      <c r="V950" s="10">
        <v>1.5828976923076921</v>
      </c>
      <c r="W950" s="10">
        <v>1.4938340384615389</v>
      </c>
      <c r="X950" s="10">
        <v>1.5578301886792461</v>
      </c>
      <c r="Y950" s="10">
        <v>1.739504390243902</v>
      </c>
      <c r="Z950" s="11">
        <f t="shared" si="14"/>
        <v>-6.8801119999999993E-2</v>
      </c>
    </row>
    <row r="951" spans="1:26" x14ac:dyDescent="0.3">
      <c r="A951" t="s">
        <v>950</v>
      </c>
      <c r="B951" t="s">
        <v>3388</v>
      </c>
      <c r="C951" t="s">
        <v>1827</v>
      </c>
      <c r="D951" t="s">
        <v>1015</v>
      </c>
      <c r="E951" t="s">
        <v>1032</v>
      </c>
      <c r="F951" t="s">
        <v>1485</v>
      </c>
      <c r="G951" t="s">
        <v>1486</v>
      </c>
      <c r="H951" s="13">
        <v>51419.158000000003</v>
      </c>
      <c r="I951" s="14">
        <v>5395332.0800000001</v>
      </c>
      <c r="J951" t="s">
        <v>1052</v>
      </c>
      <c r="K951" s="10">
        <v>117.96603</v>
      </c>
      <c r="P951" s="10">
        <v>155.84859499999999</v>
      </c>
      <c r="Q951" s="10">
        <v>150.71893499999999</v>
      </c>
      <c r="R951" s="10">
        <v>146.30466384615389</v>
      </c>
      <c r="S951" s="10">
        <v>142.6955584905661</v>
      </c>
      <c r="T951" s="10">
        <v>131.23251153846149</v>
      </c>
      <c r="U951" s="10">
        <v>130.03760634615389</v>
      </c>
      <c r="V951" s="10">
        <v>119.1308457692308</v>
      </c>
      <c r="W951" s="10">
        <v>108.9129046153846</v>
      </c>
      <c r="X951" s="10">
        <v>120.6031439622641</v>
      </c>
      <c r="Y951" s="10">
        <v>122.0070934146341</v>
      </c>
      <c r="Z951" s="11">
        <f t="shared" si="14"/>
        <v>-0.17567123000000001</v>
      </c>
    </row>
    <row r="952" spans="1:26" x14ac:dyDescent="0.3">
      <c r="A952" t="s">
        <v>951</v>
      </c>
      <c r="B952" t="s">
        <v>3389</v>
      </c>
      <c r="C952" t="s">
        <v>3018</v>
      </c>
      <c r="D952" t="s">
        <v>1015</v>
      </c>
      <c r="E952" t="s">
        <v>1030</v>
      </c>
      <c r="F952" t="s">
        <v>2451</v>
      </c>
      <c r="G952" t="s">
        <v>2800</v>
      </c>
      <c r="H952" s="13">
        <v>22812081.5</v>
      </c>
      <c r="I952" s="14">
        <v>5391936.7999999998</v>
      </c>
      <c r="J952" t="s">
        <v>1052</v>
      </c>
      <c r="K952" s="10">
        <v>0.15226999999999999</v>
      </c>
      <c r="N952" s="10">
        <v>0.22911557692307699</v>
      </c>
      <c r="O952" s="10">
        <v>0.1912351923076924</v>
      </c>
      <c r="P952" s="10">
        <v>0.1629205769230769</v>
      </c>
      <c r="Q952" s="10">
        <v>0.14370057692307689</v>
      </c>
      <c r="R952" s="10">
        <v>0.11704692307692301</v>
      </c>
      <c r="S952" s="10">
        <v>0.13540320754716981</v>
      </c>
      <c r="T952" s="10">
        <v>0.13064576923076929</v>
      </c>
      <c r="U952" s="10">
        <v>0.12825230769230769</v>
      </c>
      <c r="V952" s="10">
        <v>0.13183211538461531</v>
      </c>
      <c r="W952" s="10">
        <v>0.15349173076923081</v>
      </c>
      <c r="X952" s="10">
        <v>0.15893320754716969</v>
      </c>
      <c r="Y952" s="10">
        <v>0.15454780487804881</v>
      </c>
      <c r="Z952" s="11">
        <f t="shared" si="14"/>
        <v>0.35785890999999997</v>
      </c>
    </row>
    <row r="953" spans="1:26" x14ac:dyDescent="0.3">
      <c r="A953" t="s">
        <v>952</v>
      </c>
      <c r="B953" t="s">
        <v>3390</v>
      </c>
      <c r="C953" t="s">
        <v>3391</v>
      </c>
      <c r="D953" t="s">
        <v>1015</v>
      </c>
      <c r="E953" t="s">
        <v>1027</v>
      </c>
      <c r="F953" t="s">
        <v>1382</v>
      </c>
      <c r="G953" t="s">
        <v>3348</v>
      </c>
      <c r="H953" s="13">
        <v>29963734.5</v>
      </c>
      <c r="I953" s="14">
        <v>5386975.4199999999</v>
      </c>
      <c r="J953" t="s">
        <v>1052</v>
      </c>
      <c r="K953" s="10">
        <v>2.9319999999999999E-2</v>
      </c>
      <c r="M953" s="10">
        <v>3.1904150943396228E-2</v>
      </c>
      <c r="N953" s="10">
        <v>2.8850384615384611E-2</v>
      </c>
      <c r="O953" s="10">
        <v>2.6798076923076911E-2</v>
      </c>
      <c r="P953" s="10">
        <v>2.6010192307692311E-2</v>
      </c>
      <c r="Q953" s="10">
        <v>2.698961538461539E-2</v>
      </c>
      <c r="R953" s="10">
        <v>3.297230769230769E-2</v>
      </c>
      <c r="S953" s="10">
        <v>3.083415094339623E-2</v>
      </c>
      <c r="T953" s="10">
        <v>3.2434230769230771E-2</v>
      </c>
      <c r="U953" s="10">
        <v>3.2181923076923073E-2</v>
      </c>
      <c r="V953" s="10">
        <v>3.1470961538461538E-2</v>
      </c>
      <c r="W953" s="10">
        <v>3.0721153846153839E-2</v>
      </c>
      <c r="X953" s="10">
        <v>3.0430188679245278E-2</v>
      </c>
      <c r="Y953" s="10">
        <v>2.9527804878048781E-2</v>
      </c>
      <c r="Z953" s="11">
        <f t="shared" si="14"/>
        <v>-7.7098609999999998E-2</v>
      </c>
    </row>
    <row r="954" spans="1:26" x14ac:dyDescent="0.3">
      <c r="A954" t="s">
        <v>953</v>
      </c>
      <c r="B954" t="s">
        <v>3392</v>
      </c>
      <c r="C954" t="s">
        <v>3393</v>
      </c>
      <c r="D954" t="s">
        <v>1014</v>
      </c>
      <c r="E954" t="s">
        <v>1030</v>
      </c>
      <c r="F954" t="s">
        <v>2651</v>
      </c>
      <c r="G954" t="s">
        <v>2652</v>
      </c>
      <c r="H954" s="13">
        <v>310820</v>
      </c>
      <c r="I954" s="14">
        <v>5379613.54</v>
      </c>
      <c r="J954" t="s">
        <v>1052</v>
      </c>
      <c r="K954" s="10">
        <v>18.098990000000001</v>
      </c>
      <c r="R954" s="10">
        <v>12.56311422222222</v>
      </c>
      <c r="S954" s="10">
        <v>13.332549999999999</v>
      </c>
      <c r="T954" s="10">
        <v>13.98286076923076</v>
      </c>
      <c r="U954" s="10">
        <v>14.66629</v>
      </c>
      <c r="V954" s="10">
        <v>15.401189807692299</v>
      </c>
      <c r="W954" s="10">
        <v>16.36493519230768</v>
      </c>
      <c r="X954" s="10">
        <v>17.222599999999989</v>
      </c>
      <c r="Y954" s="10">
        <v>18.062010731707311</v>
      </c>
      <c r="Z954" s="11">
        <f t="shared" si="14"/>
        <v>0.37088620999999999</v>
      </c>
    </row>
    <row r="955" spans="1:26" x14ac:dyDescent="0.3">
      <c r="A955" t="s">
        <v>954</v>
      </c>
      <c r="B955" t="s">
        <v>3394</v>
      </c>
      <c r="C955" t="s">
        <v>2342</v>
      </c>
      <c r="D955" t="s">
        <v>1015</v>
      </c>
      <c r="E955" t="s">
        <v>1032</v>
      </c>
      <c r="F955" t="s">
        <v>2806</v>
      </c>
      <c r="G955" t="s">
        <v>2343</v>
      </c>
      <c r="H955" s="13">
        <v>23619149.307999998</v>
      </c>
      <c r="I955" s="14">
        <v>5361925.3099999996</v>
      </c>
      <c r="J955" t="s">
        <v>1052</v>
      </c>
      <c r="K955" s="10">
        <v>4.1910000000000003E-2</v>
      </c>
      <c r="P955" s="10">
        <v>0.1026548076923077</v>
      </c>
      <c r="Q955" s="10">
        <v>7.7400961538461557E-2</v>
      </c>
      <c r="R955" s="10">
        <v>6.1375769230769227E-2</v>
      </c>
      <c r="S955" s="10">
        <v>6.6788679245283047E-2</v>
      </c>
      <c r="T955" s="10">
        <v>7.8723269230769277E-2</v>
      </c>
      <c r="U955" s="10">
        <v>6.3875384615384626E-2</v>
      </c>
      <c r="V955" s="10">
        <v>6.2804807692307701E-2</v>
      </c>
      <c r="W955" s="10">
        <v>5.6470192307692298E-2</v>
      </c>
      <c r="X955" s="10">
        <v>5.1417358490566063E-2</v>
      </c>
      <c r="Y955" s="10">
        <v>4.2970487804878048E-2</v>
      </c>
      <c r="Z955" s="11">
        <f t="shared" si="14"/>
        <v>-0.16225313</v>
      </c>
    </row>
    <row r="956" spans="1:26" x14ac:dyDescent="0.3">
      <c r="A956" t="s">
        <v>955</v>
      </c>
      <c r="B956" t="s">
        <v>3395</v>
      </c>
      <c r="C956" t="s">
        <v>3396</v>
      </c>
      <c r="D956" t="s">
        <v>1015</v>
      </c>
      <c r="E956" t="s">
        <v>1027</v>
      </c>
      <c r="F956" t="s">
        <v>2039</v>
      </c>
      <c r="G956" t="s">
        <v>2503</v>
      </c>
      <c r="H956" s="13">
        <v>19914186.5</v>
      </c>
      <c r="I956" s="14">
        <v>5353405.71</v>
      </c>
      <c r="J956" t="s">
        <v>1052</v>
      </c>
      <c r="K956" s="10">
        <v>0.16669</v>
      </c>
      <c r="M956" s="10">
        <v>0.22620226415094341</v>
      </c>
      <c r="N956" s="10">
        <v>0.21561980769230771</v>
      </c>
      <c r="O956" s="10">
        <v>0.1918215384615384</v>
      </c>
      <c r="P956" s="10">
        <v>0.17653326923076931</v>
      </c>
      <c r="Q956" s="10">
        <v>0.16562807692307691</v>
      </c>
      <c r="R956" s="10">
        <v>0.15908980769230771</v>
      </c>
      <c r="S956" s="10">
        <v>0.1905898113207547</v>
      </c>
      <c r="T956" s="10">
        <v>0.20470942307692311</v>
      </c>
      <c r="U956" s="10">
        <v>0.21632980769230781</v>
      </c>
      <c r="V956" s="10">
        <v>0.20106076923076921</v>
      </c>
      <c r="W956" s="10">
        <v>0.18669557692307701</v>
      </c>
      <c r="X956" s="10">
        <v>0.1760207547169812</v>
      </c>
      <c r="Y956" s="10">
        <v>0.16728365853658531</v>
      </c>
      <c r="Z956" s="11">
        <f t="shared" si="14"/>
        <v>0.10642383</v>
      </c>
    </row>
    <row r="957" spans="1:26" x14ac:dyDescent="0.3">
      <c r="A957" t="s">
        <v>956</v>
      </c>
      <c r="B957" t="s">
        <v>3397</v>
      </c>
      <c r="C957" t="s">
        <v>3398</v>
      </c>
      <c r="D957" t="s">
        <v>1015</v>
      </c>
      <c r="E957" t="s">
        <v>1026</v>
      </c>
      <c r="F957" t="s">
        <v>1610</v>
      </c>
      <c r="G957" t="s">
        <v>3399</v>
      </c>
      <c r="H957" s="13">
        <v>21442963.309999999</v>
      </c>
      <c r="I957" s="14">
        <v>5350811.12</v>
      </c>
      <c r="J957" t="s">
        <v>1061</v>
      </c>
      <c r="K957" s="10">
        <v>0.11756999999999999</v>
      </c>
      <c r="S957" s="10">
        <v>0.16710380952380949</v>
      </c>
      <c r="T957" s="10">
        <v>0.1656186538461539</v>
      </c>
      <c r="U957" s="10">
        <v>0.15354038461538469</v>
      </c>
      <c r="V957" s="10">
        <v>0.18752846153846151</v>
      </c>
      <c r="W957" s="10">
        <v>0.16039</v>
      </c>
      <c r="X957" s="10">
        <v>0.1364156603773585</v>
      </c>
      <c r="Y957" s="10">
        <v>0.1239378048780488</v>
      </c>
      <c r="Z957" s="11" t="str">
        <f t="shared" si="14"/>
        <v/>
      </c>
    </row>
    <row r="958" spans="1:26" x14ac:dyDescent="0.3">
      <c r="A958" t="s">
        <v>957</v>
      </c>
      <c r="B958" t="s">
        <v>3400</v>
      </c>
      <c r="C958" t="s">
        <v>2568</v>
      </c>
      <c r="D958" t="s">
        <v>1015</v>
      </c>
      <c r="E958" t="s">
        <v>1032</v>
      </c>
      <c r="F958" t="s">
        <v>3401</v>
      </c>
      <c r="G958" t="s">
        <v>2172</v>
      </c>
      <c r="H958" s="13">
        <v>18901400.5</v>
      </c>
      <c r="I958" s="14">
        <v>5332452.43</v>
      </c>
      <c r="J958" t="s">
        <v>1052</v>
      </c>
      <c r="K958" s="10">
        <v>6.1280000000000001E-2</v>
      </c>
      <c r="R958" s="10">
        <v>7.0772499999999988E-2</v>
      </c>
      <c r="S958" s="10">
        <v>6.7112830188679265E-2</v>
      </c>
      <c r="T958" s="10">
        <v>7.2133461538461535E-2</v>
      </c>
      <c r="U958" s="10">
        <v>7.0258076923076937E-2</v>
      </c>
      <c r="V958" s="10">
        <v>6.7502499999999979E-2</v>
      </c>
      <c r="W958" s="10">
        <v>6.244269230769231E-2</v>
      </c>
      <c r="X958" s="10">
        <v>6.4172452830188687E-2</v>
      </c>
      <c r="Y958" s="10">
        <v>6.3718048780487799E-2</v>
      </c>
      <c r="Z958" s="11">
        <f t="shared" si="14"/>
        <v>-9.3257229999999997E-2</v>
      </c>
    </row>
    <row r="959" spans="1:26" x14ac:dyDescent="0.3">
      <c r="A959" t="s">
        <v>958</v>
      </c>
      <c r="B959" t="s">
        <v>3402</v>
      </c>
      <c r="C959" t="s">
        <v>3104</v>
      </c>
      <c r="D959" t="s">
        <v>1015</v>
      </c>
      <c r="E959" t="s">
        <v>1018</v>
      </c>
      <c r="F959" t="s">
        <v>2183</v>
      </c>
      <c r="G959" t="s">
        <v>3105</v>
      </c>
      <c r="H959" s="13">
        <v>23883196.364</v>
      </c>
      <c r="I959" s="14">
        <v>5326877.21</v>
      </c>
      <c r="J959" t="s">
        <v>1052</v>
      </c>
      <c r="K959" s="10">
        <v>4.453E-2</v>
      </c>
      <c r="O959" s="10">
        <v>6.9370000000000001E-2</v>
      </c>
      <c r="P959" s="10">
        <v>5.9828076923076963E-2</v>
      </c>
      <c r="Q959" s="10">
        <v>5.0061923076923073E-2</v>
      </c>
      <c r="R959" s="10">
        <v>6.7019038461538463E-2</v>
      </c>
      <c r="S959" s="10">
        <v>0.14444245283018869</v>
      </c>
      <c r="T959" s="10">
        <v>0.1129319230769231</v>
      </c>
      <c r="U959" s="10">
        <v>9.2947307692307732E-2</v>
      </c>
      <c r="V959" s="10">
        <v>6.8299807692307674E-2</v>
      </c>
      <c r="W959" s="10">
        <v>5.3662115384615391E-2</v>
      </c>
      <c r="X959" s="10">
        <v>4.8031320754716972E-2</v>
      </c>
      <c r="Y959" s="10">
        <v>4.316121951219512E-2</v>
      </c>
      <c r="Z959" s="11">
        <f t="shared" si="14"/>
        <v>-0.28331826999999998</v>
      </c>
    </row>
    <row r="960" spans="1:26" x14ac:dyDescent="0.3">
      <c r="A960" t="s">
        <v>959</v>
      </c>
      <c r="B960" t="s">
        <v>3403</v>
      </c>
      <c r="C960" t="s">
        <v>3287</v>
      </c>
      <c r="D960" t="s">
        <v>1015</v>
      </c>
      <c r="E960" t="s">
        <v>1033</v>
      </c>
      <c r="F960" t="s">
        <v>2082</v>
      </c>
      <c r="G960" t="s">
        <v>3288</v>
      </c>
      <c r="H960" s="13">
        <v>7911001.7280000001</v>
      </c>
      <c r="I960" s="14">
        <v>5322980.25</v>
      </c>
      <c r="J960" t="s">
        <v>1052</v>
      </c>
      <c r="K960" s="10">
        <v>0.214</v>
      </c>
      <c r="W960" s="10">
        <v>0.21547666666666671</v>
      </c>
      <c r="X960" s="10">
        <v>0.21402056603773589</v>
      </c>
      <c r="Y960" s="10">
        <v>0.21838975609756089</v>
      </c>
      <c r="Z960" s="11" t="str">
        <f t="shared" si="14"/>
        <v/>
      </c>
    </row>
    <row r="961" spans="1:26" x14ac:dyDescent="0.3">
      <c r="A961" t="s">
        <v>960</v>
      </c>
      <c r="B961" t="s">
        <v>3404</v>
      </c>
      <c r="C961" t="s">
        <v>3081</v>
      </c>
      <c r="D961" t="s">
        <v>1015</v>
      </c>
      <c r="E961" t="s">
        <v>1030</v>
      </c>
      <c r="F961" t="s">
        <v>2049</v>
      </c>
      <c r="G961" t="s">
        <v>3082</v>
      </c>
      <c r="H961" s="13">
        <v>24051091</v>
      </c>
      <c r="I961" s="14">
        <v>5321649.93</v>
      </c>
      <c r="J961" t="s">
        <v>1052</v>
      </c>
      <c r="K961" s="10">
        <v>5.654E-2</v>
      </c>
      <c r="N961" s="10">
        <v>5.984275E-2</v>
      </c>
      <c r="O961" s="10">
        <v>6.9101923076923061E-2</v>
      </c>
      <c r="P961" s="10">
        <v>6.0910576923076901E-2</v>
      </c>
      <c r="Q961" s="10">
        <v>6.0944423076923097E-2</v>
      </c>
      <c r="R961" s="10">
        <v>7.6947755102040827E-2</v>
      </c>
      <c r="S961" s="10">
        <v>8.2709811320754681E-2</v>
      </c>
      <c r="T961" s="10">
        <v>7.6969615384615386E-2</v>
      </c>
      <c r="U961" s="10">
        <v>7.5010961538461512E-2</v>
      </c>
      <c r="V961" s="10">
        <v>6.7217115384615375E-2</v>
      </c>
      <c r="W961" s="10">
        <v>6.0638846153846147E-2</v>
      </c>
      <c r="X961" s="10">
        <v>6.2544150943396229E-2</v>
      </c>
      <c r="Y961" s="10">
        <v>6.0992682926829259E-2</v>
      </c>
      <c r="Z961" s="11">
        <f t="shared" si="14"/>
        <v>-0.18718679999999999</v>
      </c>
    </row>
    <row r="962" spans="1:26" x14ac:dyDescent="0.3">
      <c r="A962" t="s">
        <v>961</v>
      </c>
      <c r="B962" t="s">
        <v>3405</v>
      </c>
      <c r="C962" t="s">
        <v>3406</v>
      </c>
      <c r="D962" t="s">
        <v>1015</v>
      </c>
      <c r="E962" t="s">
        <v>1018</v>
      </c>
      <c r="F962" t="s">
        <v>2049</v>
      </c>
      <c r="G962" t="s">
        <v>2965</v>
      </c>
      <c r="H962" s="13">
        <v>32371876.149</v>
      </c>
      <c r="I962" s="14">
        <v>5315856.6500000004</v>
      </c>
      <c r="J962" t="s">
        <v>1052</v>
      </c>
      <c r="K962" s="10">
        <v>4.9299999999999997E-2</v>
      </c>
      <c r="U962" s="10">
        <v>8.1822884615384645E-2</v>
      </c>
      <c r="V962" s="10">
        <v>7.2141538461538465E-2</v>
      </c>
      <c r="W962" s="10">
        <v>6.4334807692307719E-2</v>
      </c>
      <c r="X962" s="10">
        <v>6.0372452830188682E-2</v>
      </c>
      <c r="Y962" s="10">
        <v>5.4318048780487793E-2</v>
      </c>
      <c r="Z962" s="11" t="str">
        <f t="shared" ref="Z962:Z1012" si="15">IF(AND(ISNUMBER(INDEX($L962:$Y962,MATCH(BaseYear,p_years,0))),ISNUMBER(INDEX($L962:$Y962,MATCH(EndYear,p_years,0)))),ROUND(INDEX($L962:$Y962,MATCH(EndYear,p_years,0))/INDEX($L962:$Y962,MATCH(BaseYear,p_years,0))-1,8),"")</f>
        <v/>
      </c>
    </row>
    <row r="963" spans="1:26" x14ac:dyDescent="0.3">
      <c r="A963" t="s">
        <v>962</v>
      </c>
      <c r="B963" t="s">
        <v>3407</v>
      </c>
      <c r="C963" t="s">
        <v>2616</v>
      </c>
      <c r="D963" t="s">
        <v>1015</v>
      </c>
      <c r="E963" t="s">
        <v>1027</v>
      </c>
      <c r="F963" t="s">
        <v>2079</v>
      </c>
      <c r="G963" t="s">
        <v>2617</v>
      </c>
      <c r="H963" s="13">
        <v>11742360</v>
      </c>
      <c r="I963" s="14">
        <v>5310605.37</v>
      </c>
      <c r="J963" t="s">
        <v>1052</v>
      </c>
      <c r="K963" s="10">
        <v>0.29009000000000001</v>
      </c>
      <c r="S963" s="10">
        <v>0.40578018867924531</v>
      </c>
      <c r="T963" s="10">
        <v>0.35513769230769221</v>
      </c>
      <c r="U963" s="10">
        <v>0.30684269230769251</v>
      </c>
      <c r="V963" s="10">
        <v>0.3249128846153847</v>
      </c>
      <c r="W963" s="10">
        <v>0.31067038461538471</v>
      </c>
      <c r="X963" s="10">
        <v>0.33062735849056618</v>
      </c>
      <c r="Y963" s="10">
        <v>0.30488292682926821</v>
      </c>
      <c r="Z963" s="11" t="str">
        <f t="shared" si="15"/>
        <v/>
      </c>
    </row>
    <row r="964" spans="1:26" x14ac:dyDescent="0.3">
      <c r="A964" t="s">
        <v>963</v>
      </c>
      <c r="B964" t="s">
        <v>3408</v>
      </c>
      <c r="C964" t="s">
        <v>3409</v>
      </c>
      <c r="D964" t="s">
        <v>1015</v>
      </c>
      <c r="E964" t="s">
        <v>1032</v>
      </c>
      <c r="F964" t="s">
        <v>1485</v>
      </c>
      <c r="G964" t="s">
        <v>2606</v>
      </c>
      <c r="H964" s="13">
        <v>3378663</v>
      </c>
      <c r="I964" s="14">
        <v>5305797.9000000004</v>
      </c>
      <c r="J964" t="s">
        <v>1052</v>
      </c>
      <c r="K964" s="10">
        <v>1.2451399999999999</v>
      </c>
      <c r="R964" s="10">
        <v>2.817818378378377</v>
      </c>
      <c r="S964" s="10">
        <v>2.54016113207547</v>
      </c>
      <c r="T964" s="10">
        <v>2.4446519230769228</v>
      </c>
      <c r="U964" s="10">
        <v>1.8387369230769219</v>
      </c>
      <c r="V964" s="10">
        <v>1.566356730769231</v>
      </c>
      <c r="W964" s="10">
        <v>1.3813263461538461</v>
      </c>
      <c r="X964" s="10">
        <v>1.381329622641509</v>
      </c>
      <c r="Y964" s="10">
        <v>1.3141860975609749</v>
      </c>
      <c r="Z964" s="11">
        <f t="shared" si="15"/>
        <v>-0.50978756000000003</v>
      </c>
    </row>
    <row r="965" spans="1:26" x14ac:dyDescent="0.3">
      <c r="A965" t="s">
        <v>964</v>
      </c>
      <c r="B965" t="s">
        <v>3410</v>
      </c>
      <c r="C965" t="s">
        <v>3411</v>
      </c>
      <c r="D965" t="s">
        <v>1014</v>
      </c>
      <c r="E965" t="s">
        <v>1030</v>
      </c>
      <c r="F965" t="s">
        <v>2007</v>
      </c>
      <c r="G965" t="s">
        <v>2008</v>
      </c>
      <c r="H965" s="13">
        <v>262224</v>
      </c>
      <c r="I965" s="14">
        <v>5300232.67</v>
      </c>
      <c r="J965" t="s">
        <v>1052</v>
      </c>
      <c r="K965" s="10">
        <v>21.047920000000001</v>
      </c>
      <c r="Q965" s="10">
        <v>15.968407692307711</v>
      </c>
      <c r="R965" s="10">
        <v>16.575265769230771</v>
      </c>
      <c r="S965" s="10">
        <v>17.008616603773579</v>
      </c>
      <c r="T965" s="10">
        <v>17.496329423076929</v>
      </c>
      <c r="U965" s="10">
        <v>18.092430000000011</v>
      </c>
      <c r="V965" s="10">
        <v>18.814742307692331</v>
      </c>
      <c r="W965" s="10">
        <v>19.55869134615385</v>
      </c>
      <c r="X965" s="10">
        <v>20.322056037735859</v>
      </c>
      <c r="Y965" s="10">
        <v>21.088216585365849</v>
      </c>
      <c r="Z965" s="11">
        <f t="shared" si="15"/>
        <v>0.22604706999999999</v>
      </c>
    </row>
    <row r="966" spans="1:26" x14ac:dyDescent="0.3">
      <c r="A966" t="s">
        <v>965</v>
      </c>
      <c r="B966" t="s">
        <v>3412</v>
      </c>
      <c r="C966" t="s">
        <v>3267</v>
      </c>
      <c r="D966" t="s">
        <v>1015</v>
      </c>
      <c r="E966" t="s">
        <v>1030</v>
      </c>
      <c r="F966" t="s">
        <v>2806</v>
      </c>
      <c r="G966" t="s">
        <v>3268</v>
      </c>
      <c r="H966" s="13">
        <v>20286366.535999998</v>
      </c>
      <c r="I966" s="14">
        <v>5292674.09</v>
      </c>
      <c r="J966" t="s">
        <v>1052</v>
      </c>
      <c r="K966" s="10">
        <v>1.8419999999999999E-2</v>
      </c>
      <c r="M966" s="10">
        <v>2.7342452830188681E-2</v>
      </c>
      <c r="N966" s="10">
        <v>2.6313653846153851E-2</v>
      </c>
      <c r="O966" s="10">
        <v>2.3985576923076918E-2</v>
      </c>
      <c r="P966" s="10">
        <v>2.095250000000002E-2</v>
      </c>
      <c r="Q966" s="10">
        <v>1.9365384615384611E-2</v>
      </c>
      <c r="R966" s="10">
        <v>2.102096153846154E-2</v>
      </c>
      <c r="S966" s="10">
        <v>2.091188679245283E-2</v>
      </c>
      <c r="T966" s="10">
        <v>2.253115384615384E-2</v>
      </c>
      <c r="U966" s="10">
        <v>2.3857307692307692E-2</v>
      </c>
      <c r="V966" s="10">
        <v>2.2219807692307691E-2</v>
      </c>
      <c r="W966" s="10">
        <v>1.9881538461538451E-2</v>
      </c>
      <c r="X966" s="10">
        <v>1.9783962264150939E-2</v>
      </c>
      <c r="Y966" s="10">
        <v>1.9194146341463419E-2</v>
      </c>
      <c r="Z966" s="11">
        <f t="shared" si="15"/>
        <v>-5.8845990000000001E-2</v>
      </c>
    </row>
    <row r="967" spans="1:26" x14ac:dyDescent="0.3">
      <c r="A967" t="s">
        <v>966</v>
      </c>
      <c r="B967" t="s">
        <v>3413</v>
      </c>
      <c r="C967" t="s">
        <v>2120</v>
      </c>
      <c r="D967" t="s">
        <v>1015</v>
      </c>
      <c r="E967" t="s">
        <v>1022</v>
      </c>
      <c r="F967" t="s">
        <v>1941</v>
      </c>
      <c r="G967" t="s">
        <v>2121</v>
      </c>
      <c r="H967" s="13">
        <v>111268612.12899999</v>
      </c>
      <c r="I967" s="14">
        <v>5288816.04</v>
      </c>
      <c r="J967" t="s">
        <v>1163</v>
      </c>
      <c r="K967" s="10">
        <v>2.4119999999999999E-2</v>
      </c>
      <c r="M967" s="10">
        <v>2.3388301886792449E-2</v>
      </c>
      <c r="N967" s="10">
        <v>2.3685769230769239E-2</v>
      </c>
      <c r="O967" s="10">
        <v>2.3229423076923088E-2</v>
      </c>
      <c r="P967" s="10">
        <v>2.4125769230769221E-2</v>
      </c>
      <c r="Q967" s="10">
        <v>2.373999999999999E-2</v>
      </c>
      <c r="R967" s="10">
        <v>2.3325192307692311E-2</v>
      </c>
      <c r="S967" s="10">
        <v>2.3639433962264152E-2</v>
      </c>
      <c r="T967" s="10">
        <v>2.3786730769230768E-2</v>
      </c>
      <c r="U967" s="10">
        <v>2.536057692307692E-2</v>
      </c>
      <c r="V967" s="10">
        <v>2.462903846153847E-2</v>
      </c>
      <c r="W967" s="10">
        <v>2.425865384615385E-2</v>
      </c>
      <c r="X967" s="10">
        <v>2.483226415094341E-2</v>
      </c>
      <c r="Y967" s="10">
        <v>2.4331951219512201E-2</v>
      </c>
      <c r="Z967" s="11">
        <f t="shared" si="15"/>
        <v>6.4611340000000003E-2</v>
      </c>
    </row>
    <row r="968" spans="1:26" x14ac:dyDescent="0.3">
      <c r="A968" t="s">
        <v>967</v>
      </c>
      <c r="B968" t="s">
        <v>3414</v>
      </c>
      <c r="C968" t="s">
        <v>3415</v>
      </c>
      <c r="D968" t="s">
        <v>1014</v>
      </c>
      <c r="E968" t="s">
        <v>1027</v>
      </c>
      <c r="F968" t="s">
        <v>3416</v>
      </c>
      <c r="G968" t="s">
        <v>3417</v>
      </c>
      <c r="H968" s="13">
        <v>165386</v>
      </c>
      <c r="I968" s="14">
        <v>5286793.51</v>
      </c>
      <c r="J968" t="s">
        <v>1052</v>
      </c>
      <c r="K968" s="10">
        <v>32.757660000000001</v>
      </c>
      <c r="W968" s="10">
        <v>31.243205135135131</v>
      </c>
      <c r="X968" s="10">
        <v>31.96339245283021</v>
      </c>
      <c r="Y968" s="10">
        <v>32.564164146341447</v>
      </c>
      <c r="Z968" s="11" t="str">
        <f t="shared" si="15"/>
        <v/>
      </c>
    </row>
    <row r="969" spans="1:26" x14ac:dyDescent="0.3">
      <c r="A969" t="s">
        <v>968</v>
      </c>
      <c r="B969" t="s">
        <v>3418</v>
      </c>
      <c r="C969" t="s">
        <v>3238</v>
      </c>
      <c r="D969" t="s">
        <v>1015</v>
      </c>
      <c r="E969" t="s">
        <v>1022</v>
      </c>
      <c r="F969" t="s">
        <v>1571</v>
      </c>
      <c r="G969" t="s">
        <v>3239</v>
      </c>
      <c r="H969" s="13">
        <v>1111704.5</v>
      </c>
      <c r="I969" s="14">
        <v>5283782.8899999997</v>
      </c>
      <c r="J969" t="s">
        <v>1052</v>
      </c>
      <c r="K969" s="10">
        <v>3.7068599999999998</v>
      </c>
      <c r="V969" s="10">
        <v>7.0523937254901963</v>
      </c>
      <c r="W969" s="10">
        <v>5.587056538461538</v>
      </c>
      <c r="X969" s="10">
        <v>4.6514447169811302</v>
      </c>
      <c r="Y969" s="10">
        <v>3.9795578048780502</v>
      </c>
      <c r="Z969" s="11" t="str">
        <f t="shared" si="15"/>
        <v/>
      </c>
    </row>
    <row r="970" spans="1:26" x14ac:dyDescent="0.3">
      <c r="A970" t="s">
        <v>969</v>
      </c>
      <c r="B970" t="s">
        <v>3419</v>
      </c>
      <c r="C970" t="s">
        <v>3420</v>
      </c>
      <c r="D970" t="s">
        <v>1015</v>
      </c>
      <c r="E970" t="s">
        <v>1027</v>
      </c>
      <c r="F970" t="s">
        <v>2108</v>
      </c>
      <c r="G970" t="s">
        <v>3421</v>
      </c>
      <c r="H970" s="13">
        <v>26060269.107999999</v>
      </c>
      <c r="I970" s="14">
        <v>5270683.38</v>
      </c>
      <c r="J970" t="s">
        <v>1061</v>
      </c>
      <c r="K970" s="10">
        <v>0.17304</v>
      </c>
      <c r="V970" s="10">
        <v>0.28229333333333329</v>
      </c>
      <c r="W970" s="10">
        <v>0.20751499999999989</v>
      </c>
      <c r="X970" s="10">
        <v>0.1978096226415095</v>
      </c>
      <c r="Y970" s="10">
        <v>0.16396585365853661</v>
      </c>
      <c r="Z970" s="11" t="str">
        <f t="shared" si="15"/>
        <v/>
      </c>
    </row>
    <row r="971" spans="1:26" x14ac:dyDescent="0.3">
      <c r="A971" t="s">
        <v>970</v>
      </c>
      <c r="B971" t="s">
        <v>3422</v>
      </c>
      <c r="C971" t="s">
        <v>3423</v>
      </c>
      <c r="D971" t="s">
        <v>1014</v>
      </c>
      <c r="E971" t="s">
        <v>1022</v>
      </c>
      <c r="F971" t="s">
        <v>3424</v>
      </c>
      <c r="G971" t="s">
        <v>3425</v>
      </c>
      <c r="H971" s="13">
        <v>1091020</v>
      </c>
      <c r="I971" s="14">
        <v>5258854.41</v>
      </c>
      <c r="J971" t="s">
        <v>1052</v>
      </c>
      <c r="K971" s="10">
        <v>4.8824500000000004</v>
      </c>
      <c r="T971" s="10">
        <v>3.8124076190476202</v>
      </c>
      <c r="U971" s="10">
        <v>4.0426699999999949</v>
      </c>
      <c r="V971" s="10">
        <v>4.3591330769230803</v>
      </c>
      <c r="W971" s="10">
        <v>4.5928621153846168</v>
      </c>
      <c r="X971" s="10">
        <v>4.765434905660376</v>
      </c>
      <c r="Y971" s="10">
        <v>4.8686692682926864</v>
      </c>
      <c r="Z971" s="11" t="str">
        <f t="shared" si="15"/>
        <v/>
      </c>
    </row>
    <row r="972" spans="1:26" x14ac:dyDescent="0.3">
      <c r="A972" t="s">
        <v>971</v>
      </c>
      <c r="B972" t="s">
        <v>3426</v>
      </c>
      <c r="C972" t="s">
        <v>3427</v>
      </c>
      <c r="D972" t="s">
        <v>1015</v>
      </c>
      <c r="E972" t="s">
        <v>1027</v>
      </c>
      <c r="F972" t="s">
        <v>1618</v>
      </c>
      <c r="G972" t="s">
        <v>3428</v>
      </c>
      <c r="H972" s="13">
        <v>72506.5</v>
      </c>
      <c r="I972" s="14">
        <v>5252914.59</v>
      </c>
      <c r="J972" t="s">
        <v>1061</v>
      </c>
      <c r="K972" s="10">
        <v>61.41234</v>
      </c>
      <c r="V972" s="10">
        <v>61.715267692307677</v>
      </c>
      <c r="W972" s="10">
        <v>63.625114038461547</v>
      </c>
      <c r="X972" s="10">
        <v>71.474355283018838</v>
      </c>
      <c r="Y972" s="10">
        <v>67.687721219512213</v>
      </c>
      <c r="Z972" s="11" t="str">
        <f t="shared" si="15"/>
        <v/>
      </c>
    </row>
    <row r="973" spans="1:26" x14ac:dyDescent="0.3">
      <c r="A973" t="s">
        <v>972</v>
      </c>
      <c r="B973" t="s">
        <v>3429</v>
      </c>
      <c r="C973" t="s">
        <v>3430</v>
      </c>
      <c r="D973" t="s">
        <v>1015</v>
      </c>
      <c r="E973" t="s">
        <v>1026</v>
      </c>
      <c r="F973" t="s">
        <v>1608</v>
      </c>
      <c r="G973" t="s">
        <v>3431</v>
      </c>
      <c r="H973" s="13">
        <v>339448.20699999999</v>
      </c>
      <c r="I973" s="14">
        <v>5244951.82</v>
      </c>
      <c r="J973" t="s">
        <v>1052</v>
      </c>
      <c r="K973" s="10">
        <v>1.0703100000000001</v>
      </c>
      <c r="M973" s="10">
        <v>1.152024528301886</v>
      </c>
      <c r="N973" s="10">
        <v>0.80047711538461519</v>
      </c>
      <c r="O973" s="10">
        <v>0.64607999999999988</v>
      </c>
      <c r="W973" s="10">
        <v>1.0052921875</v>
      </c>
      <c r="X973" s="10">
        <v>1.020441886792453</v>
      </c>
      <c r="Y973" s="10">
        <v>1.0033521951219511</v>
      </c>
      <c r="Z973" s="11" t="str">
        <f t="shared" si="15"/>
        <v/>
      </c>
    </row>
    <row r="974" spans="1:26" x14ac:dyDescent="0.3">
      <c r="A974" t="s">
        <v>973</v>
      </c>
      <c r="B974" t="s">
        <v>3432</v>
      </c>
      <c r="C974" t="s">
        <v>3433</v>
      </c>
      <c r="D974" t="s">
        <v>1015</v>
      </c>
      <c r="E974" t="s">
        <v>1019</v>
      </c>
      <c r="F974" t="s">
        <v>1123</v>
      </c>
      <c r="G974" t="s">
        <v>3434</v>
      </c>
      <c r="H974" s="13">
        <v>513937.95</v>
      </c>
      <c r="I974" s="14">
        <v>5238466.3</v>
      </c>
      <c r="J974" t="s">
        <v>1061</v>
      </c>
      <c r="K974" s="10">
        <v>10.20743</v>
      </c>
      <c r="S974" s="10">
        <v>16.946211250000001</v>
      </c>
      <c r="T974" s="10">
        <v>16.966247307692299</v>
      </c>
      <c r="U974" s="10">
        <v>10.35167461538461</v>
      </c>
      <c r="V974" s="10">
        <v>10.18967865384616</v>
      </c>
      <c r="W974" s="10">
        <v>10.20015269230769</v>
      </c>
      <c r="X974" s="10">
        <v>10.20101358490566</v>
      </c>
      <c r="Y974" s="10">
        <v>10.200449024390251</v>
      </c>
      <c r="Z974" s="11" t="str">
        <f t="shared" si="15"/>
        <v/>
      </c>
    </row>
    <row r="975" spans="1:26" x14ac:dyDescent="0.3">
      <c r="A975" t="s">
        <v>974</v>
      </c>
      <c r="B975" t="s">
        <v>3435</v>
      </c>
      <c r="C975" t="s">
        <v>3436</v>
      </c>
      <c r="D975" t="s">
        <v>1017</v>
      </c>
      <c r="E975" t="s">
        <v>1025</v>
      </c>
      <c r="F975" t="s">
        <v>1496</v>
      </c>
      <c r="G975" t="s">
        <v>1670</v>
      </c>
      <c r="H975" s="13">
        <v>8070.6</v>
      </c>
      <c r="I975" s="14">
        <v>5224906.6399999997</v>
      </c>
      <c r="J975" t="s">
        <v>1061</v>
      </c>
      <c r="K975" s="10">
        <v>623.49306000000001</v>
      </c>
      <c r="X975" s="10">
        <v>631.05627216216249</v>
      </c>
      <c r="Y975" s="10">
        <v>628.9326414634146</v>
      </c>
      <c r="Z975" s="11" t="str">
        <f t="shared" si="15"/>
        <v/>
      </c>
    </row>
    <row r="976" spans="1:26" x14ac:dyDescent="0.3">
      <c r="A976" t="s">
        <v>975</v>
      </c>
      <c r="B976" t="s">
        <v>3437</v>
      </c>
      <c r="C976" t="s">
        <v>3438</v>
      </c>
      <c r="D976" t="s">
        <v>1015</v>
      </c>
      <c r="E976" t="s">
        <v>1030</v>
      </c>
      <c r="F976" t="s">
        <v>3439</v>
      </c>
      <c r="G976" t="s">
        <v>3440</v>
      </c>
      <c r="H976" s="13">
        <v>26768850.5</v>
      </c>
      <c r="I976" s="14">
        <v>5215579.3</v>
      </c>
      <c r="J976" t="s">
        <v>1052</v>
      </c>
      <c r="K976" s="10">
        <v>1.712E-2</v>
      </c>
      <c r="Q976" s="10">
        <v>2.3517333333333331E-2</v>
      </c>
      <c r="R976" s="10">
        <v>2.496134615384615E-2</v>
      </c>
      <c r="S976" s="10">
        <v>2.5333773584905669E-2</v>
      </c>
      <c r="T976" s="10">
        <v>2.489692307692307E-2</v>
      </c>
      <c r="U976" s="10">
        <v>2.3330769230769231E-2</v>
      </c>
      <c r="V976" s="10">
        <v>2.2058846153846141E-2</v>
      </c>
      <c r="W976" s="10">
        <v>1.90298076923077E-2</v>
      </c>
      <c r="X976" s="10">
        <v>1.810226415094339E-2</v>
      </c>
      <c r="Y976" s="10">
        <v>1.755951219512196E-2</v>
      </c>
      <c r="Z976" s="11">
        <f t="shared" si="15"/>
        <v>-0.27478814000000001</v>
      </c>
    </row>
    <row r="977" spans="1:26" x14ac:dyDescent="0.3">
      <c r="A977" t="s">
        <v>976</v>
      </c>
      <c r="B977" t="s">
        <v>3441</v>
      </c>
      <c r="C977" t="s">
        <v>3442</v>
      </c>
      <c r="D977" t="s">
        <v>1014</v>
      </c>
      <c r="E977" t="s">
        <v>1027</v>
      </c>
      <c r="F977" t="s">
        <v>1055</v>
      </c>
      <c r="G977" t="s">
        <v>3310</v>
      </c>
      <c r="H977" s="13">
        <v>258955</v>
      </c>
      <c r="I977" s="14">
        <v>5208286.33</v>
      </c>
      <c r="J977" t="s">
        <v>1052</v>
      </c>
      <c r="K977" s="10">
        <v>21.16056</v>
      </c>
      <c r="N977" s="10">
        <v>13.55562211538461</v>
      </c>
      <c r="O977" s="10">
        <v>15.871658846153849</v>
      </c>
      <c r="P977" s="10">
        <v>17.481428076923091</v>
      </c>
      <c r="Q977" s="10">
        <v>19.097332884615369</v>
      </c>
      <c r="R977" s="10">
        <v>19.205557500000001</v>
      </c>
      <c r="S977" s="10">
        <v>19.160289811320759</v>
      </c>
      <c r="T977" s="10">
        <v>19.194957692307678</v>
      </c>
      <c r="U977" s="10">
        <v>19.150990384615412</v>
      </c>
      <c r="V977" s="10">
        <v>19.176579999999991</v>
      </c>
      <c r="W977" s="10">
        <v>19.148006346153831</v>
      </c>
      <c r="X977" s="10">
        <v>20.144778867924529</v>
      </c>
      <c r="Y977" s="10">
        <v>21.153735121951222</v>
      </c>
      <c r="Z977" s="11">
        <f t="shared" si="15"/>
        <v>4.8903620000000002E-2</v>
      </c>
    </row>
    <row r="978" spans="1:26" x14ac:dyDescent="0.3">
      <c r="A978" t="s">
        <v>977</v>
      </c>
      <c r="B978" t="s">
        <v>3443</v>
      </c>
      <c r="C978" t="s">
        <v>3444</v>
      </c>
      <c r="D978" t="s">
        <v>1014</v>
      </c>
      <c r="E978" t="s">
        <v>1025</v>
      </c>
      <c r="F978" t="s">
        <v>1096</v>
      </c>
      <c r="G978" t="s">
        <v>3445</v>
      </c>
      <c r="H978" s="13">
        <v>62387.023000000001</v>
      </c>
      <c r="I978" s="14">
        <v>5207387.87</v>
      </c>
      <c r="J978" t="s">
        <v>1163</v>
      </c>
      <c r="K978" s="10">
        <v>89.714799999999997</v>
      </c>
      <c r="T978" s="10">
        <v>62.706069999999997</v>
      </c>
      <c r="U978" s="10">
        <v>63.865930769230758</v>
      </c>
      <c r="V978" s="10">
        <v>71.883457884615325</v>
      </c>
      <c r="W978" s="10">
        <v>74.261683846153886</v>
      </c>
      <c r="X978" s="10">
        <v>81.28947150943398</v>
      </c>
      <c r="Y978" s="10">
        <v>89.578608780487812</v>
      </c>
      <c r="Z978" s="11" t="str">
        <f t="shared" si="15"/>
        <v/>
      </c>
    </row>
    <row r="979" spans="1:26" x14ac:dyDescent="0.3">
      <c r="A979" t="s">
        <v>978</v>
      </c>
      <c r="B979" t="s">
        <v>3446</v>
      </c>
      <c r="C979" t="s">
        <v>3447</v>
      </c>
      <c r="D979" t="s">
        <v>1014</v>
      </c>
      <c r="E979" t="s">
        <v>1032</v>
      </c>
      <c r="F979" t="s">
        <v>1382</v>
      </c>
      <c r="G979" t="s">
        <v>3448</v>
      </c>
      <c r="H979" s="13">
        <v>46824.519</v>
      </c>
      <c r="I979" s="14">
        <v>5202119.82</v>
      </c>
      <c r="J979" t="s">
        <v>1052</v>
      </c>
      <c r="K979" s="10">
        <v>67.179540000000003</v>
      </c>
      <c r="O979" s="10">
        <v>48.301683653846148</v>
      </c>
      <c r="P979" s="10">
        <v>50.996184807692323</v>
      </c>
      <c r="Q979" s="10">
        <v>53.915760000000027</v>
      </c>
      <c r="R979" s="10">
        <v>58.173119038461543</v>
      </c>
      <c r="S979" s="10">
        <v>60.004748867924548</v>
      </c>
      <c r="T979" s="10">
        <v>61.858425000000047</v>
      </c>
      <c r="U979" s="10">
        <v>63.401448846153933</v>
      </c>
      <c r="V979" s="10">
        <v>65.274666730769184</v>
      </c>
      <c r="W979" s="10">
        <v>65.430270000000036</v>
      </c>
      <c r="X979" s="10">
        <v>65.392404339622615</v>
      </c>
      <c r="Y979" s="10">
        <v>67.224095121951223</v>
      </c>
      <c r="Z979" s="11">
        <f t="shared" si="15"/>
        <v>0.12410002000000001</v>
      </c>
    </row>
    <row r="980" spans="1:26" x14ac:dyDescent="0.3">
      <c r="A980" t="s">
        <v>979</v>
      </c>
      <c r="B980" t="s">
        <v>3449</v>
      </c>
      <c r="C980" t="s">
        <v>2832</v>
      </c>
      <c r="D980" t="s">
        <v>1015</v>
      </c>
      <c r="E980" t="s">
        <v>1032</v>
      </c>
      <c r="F980" t="s">
        <v>2062</v>
      </c>
      <c r="G980" t="s">
        <v>2833</v>
      </c>
      <c r="H980" s="13">
        <v>18183200.899999999</v>
      </c>
      <c r="I980" s="14">
        <v>5200494.7</v>
      </c>
      <c r="J980" t="s">
        <v>1052</v>
      </c>
      <c r="K980" s="10">
        <v>5.2940000000000001E-2</v>
      </c>
      <c r="S980" s="10">
        <v>6.1308490566037717E-2</v>
      </c>
      <c r="T980" s="10">
        <v>6.042076923076925E-2</v>
      </c>
      <c r="U980" s="10">
        <v>5.9735384615384607E-2</v>
      </c>
      <c r="V980" s="10">
        <v>5.970384615384617E-2</v>
      </c>
      <c r="W980" s="10">
        <v>5.5506923076923113E-2</v>
      </c>
      <c r="X980" s="10">
        <v>5.6650566037735862E-2</v>
      </c>
      <c r="Y980" s="10">
        <v>5.3112682926829281E-2</v>
      </c>
      <c r="Z980" s="11" t="str">
        <f t="shared" si="15"/>
        <v/>
      </c>
    </row>
    <row r="981" spans="1:26" x14ac:dyDescent="0.3">
      <c r="A981" t="s">
        <v>980</v>
      </c>
      <c r="B981" t="s">
        <v>3450</v>
      </c>
      <c r="C981" t="s">
        <v>3451</v>
      </c>
      <c r="D981" t="s">
        <v>1015</v>
      </c>
      <c r="E981" t="s">
        <v>1026</v>
      </c>
      <c r="F981" t="s">
        <v>2043</v>
      </c>
      <c r="G981" t="s">
        <v>3452</v>
      </c>
      <c r="H981" s="13">
        <v>4717159.5</v>
      </c>
      <c r="I981" s="14">
        <v>5200466.2300000004</v>
      </c>
      <c r="J981" t="s">
        <v>1061</v>
      </c>
      <c r="K981" s="10">
        <v>0.45211000000000001</v>
      </c>
      <c r="M981" s="10">
        <v>0.80549037735849038</v>
      </c>
      <c r="N981" s="10">
        <v>0.7212623076923077</v>
      </c>
      <c r="O981" s="10">
        <v>0.66284403846153839</v>
      </c>
      <c r="P981" s="10">
        <v>0.58346653846153873</v>
      </c>
      <c r="Q981" s="10">
        <v>0.54129096153846135</v>
      </c>
      <c r="R981" s="10">
        <v>0.53322269230769248</v>
      </c>
      <c r="S981" s="10">
        <v>0.51845188679245269</v>
      </c>
      <c r="T981" s="10">
        <v>0.47822461538461519</v>
      </c>
      <c r="U981" s="10">
        <v>0.48109326923076912</v>
      </c>
      <c r="V981" s="10">
        <v>0.48675576923076908</v>
      </c>
      <c r="W981" s="10">
        <v>0.45711480769230811</v>
      </c>
      <c r="X981" s="10">
        <v>0.46904735849056589</v>
      </c>
      <c r="Y981" s="10">
        <v>0.45750463414634152</v>
      </c>
      <c r="Z981" s="11">
        <f t="shared" si="15"/>
        <v>-0.12035372</v>
      </c>
    </row>
    <row r="982" spans="1:26" x14ac:dyDescent="0.3">
      <c r="A982" t="s">
        <v>981</v>
      </c>
      <c r="B982" t="s">
        <v>3453</v>
      </c>
      <c r="C982" t="s">
        <v>2342</v>
      </c>
      <c r="D982" t="s">
        <v>1015</v>
      </c>
      <c r="E982" t="s">
        <v>1032</v>
      </c>
      <c r="F982" t="s">
        <v>2108</v>
      </c>
      <c r="G982" t="s">
        <v>2343</v>
      </c>
      <c r="H982" s="13">
        <v>27730269</v>
      </c>
      <c r="I982" s="14">
        <v>5199137</v>
      </c>
      <c r="J982" t="s">
        <v>1052</v>
      </c>
      <c r="K982" s="10">
        <v>4.1910000000000003E-2</v>
      </c>
      <c r="M982" s="10">
        <v>0.21660415094339619</v>
      </c>
      <c r="N982" s="10">
        <v>0.17620730769230769</v>
      </c>
      <c r="O982" s="10">
        <v>0.14519115384615389</v>
      </c>
      <c r="P982" s="10">
        <v>0.1026548076923077</v>
      </c>
      <c r="Q982" s="10">
        <v>7.7400961538461571E-2</v>
      </c>
      <c r="R982" s="10">
        <v>6.137576923076922E-2</v>
      </c>
      <c r="S982" s="10">
        <v>6.6788679245283034E-2</v>
      </c>
      <c r="T982" s="10">
        <v>7.8723269230769263E-2</v>
      </c>
      <c r="U982" s="10">
        <v>6.3875384615384626E-2</v>
      </c>
      <c r="V982" s="10">
        <v>6.2804807692307701E-2</v>
      </c>
      <c r="W982" s="10">
        <v>5.6470192307692298E-2</v>
      </c>
      <c r="X982" s="10">
        <v>5.1417358490566063E-2</v>
      </c>
      <c r="Y982" s="10">
        <v>4.2970487804878048E-2</v>
      </c>
      <c r="Z982" s="11">
        <f t="shared" si="15"/>
        <v>-0.16225313</v>
      </c>
    </row>
    <row r="983" spans="1:26" x14ac:dyDescent="0.3">
      <c r="A983" t="s">
        <v>982</v>
      </c>
      <c r="B983" t="s">
        <v>3454</v>
      </c>
      <c r="C983" t="s">
        <v>3455</v>
      </c>
      <c r="D983" t="s">
        <v>1015</v>
      </c>
      <c r="E983" t="s">
        <v>1018</v>
      </c>
      <c r="F983" t="s">
        <v>2806</v>
      </c>
      <c r="G983" t="s">
        <v>3456</v>
      </c>
      <c r="H983" s="13">
        <v>37845730.277000003</v>
      </c>
      <c r="I983" s="14">
        <v>5196360.41</v>
      </c>
      <c r="J983" t="s">
        <v>1052</v>
      </c>
      <c r="K983" s="10">
        <v>1.153E-2</v>
      </c>
      <c r="M983" s="10">
        <v>1.615622641509434E-2</v>
      </c>
      <c r="N983" s="10">
        <v>1.3237115384615391E-2</v>
      </c>
      <c r="O983" s="10">
        <v>1.2481730769230769E-2</v>
      </c>
      <c r="P983" s="10">
        <v>1.152461538461539E-2</v>
      </c>
      <c r="Q983" s="10">
        <v>9.4861538461538508E-3</v>
      </c>
      <c r="R983" s="10">
        <v>1.20325E-2</v>
      </c>
      <c r="S983" s="10">
        <v>1.409264150943396E-2</v>
      </c>
      <c r="T983" s="10">
        <v>1.4441730769230769E-2</v>
      </c>
      <c r="U983" s="10">
        <v>1.3447499999999999E-2</v>
      </c>
      <c r="V983" s="10">
        <v>1.298673076923077E-2</v>
      </c>
      <c r="W983" s="10">
        <v>1.2080384615384609E-2</v>
      </c>
      <c r="X983" s="10">
        <v>1.231679245283019E-2</v>
      </c>
      <c r="Y983" s="10">
        <v>1.199853658536585E-2</v>
      </c>
      <c r="Z983" s="11">
        <f t="shared" si="15"/>
        <v>2.362705E-2</v>
      </c>
    </row>
    <row r="984" spans="1:26" x14ac:dyDescent="0.3">
      <c r="A984" t="s">
        <v>983</v>
      </c>
      <c r="B984" t="s">
        <v>3457</v>
      </c>
      <c r="C984" t="s">
        <v>3458</v>
      </c>
      <c r="D984" t="s">
        <v>1015</v>
      </c>
      <c r="E984" t="s">
        <v>1026</v>
      </c>
      <c r="F984" t="s">
        <v>3459</v>
      </c>
      <c r="G984" t="s">
        <v>3460</v>
      </c>
      <c r="H984" s="13">
        <v>12178284.51</v>
      </c>
      <c r="I984" s="14">
        <v>5185234.17</v>
      </c>
      <c r="J984" t="s">
        <v>1061</v>
      </c>
      <c r="K984" s="10">
        <v>0.39132</v>
      </c>
      <c r="V984" s="10">
        <v>0.40113399999999982</v>
      </c>
      <c r="W984" s="10">
        <v>0.77461211538461561</v>
      </c>
      <c r="X984" s="10">
        <v>0.44502867924528289</v>
      </c>
      <c r="Y984" s="10">
        <v>0.37452121951219519</v>
      </c>
      <c r="Z984" s="11" t="str">
        <f t="shared" si="15"/>
        <v/>
      </c>
    </row>
    <row r="985" spans="1:26" x14ac:dyDescent="0.3">
      <c r="A985" t="s">
        <v>984</v>
      </c>
      <c r="B985" t="s">
        <v>3461</v>
      </c>
      <c r="C985" t="s">
        <v>3462</v>
      </c>
      <c r="D985" t="s">
        <v>1014</v>
      </c>
      <c r="E985" t="s">
        <v>1027</v>
      </c>
      <c r="F985" t="s">
        <v>3416</v>
      </c>
      <c r="G985" t="s">
        <v>3417</v>
      </c>
      <c r="H985" s="13">
        <v>80910</v>
      </c>
      <c r="I985" s="14">
        <v>5184064.25</v>
      </c>
      <c r="J985" t="s">
        <v>1052</v>
      </c>
      <c r="K985" s="10">
        <v>65.428179999999998</v>
      </c>
      <c r="W985" s="10">
        <v>62.670280000000012</v>
      </c>
      <c r="X985" s="10">
        <v>63.850859056603802</v>
      </c>
      <c r="Y985" s="10">
        <v>65.041363414634077</v>
      </c>
      <c r="Z985" s="11" t="str">
        <f t="shared" si="15"/>
        <v/>
      </c>
    </row>
    <row r="986" spans="1:26" x14ac:dyDescent="0.3">
      <c r="A986" t="s">
        <v>985</v>
      </c>
      <c r="B986" t="s">
        <v>3463</v>
      </c>
      <c r="C986" t="s">
        <v>3464</v>
      </c>
      <c r="D986" t="s">
        <v>1015</v>
      </c>
      <c r="E986" t="s">
        <v>1026</v>
      </c>
      <c r="F986" t="s">
        <v>2108</v>
      </c>
      <c r="G986" t="s">
        <v>2239</v>
      </c>
      <c r="H986" s="13">
        <v>9958472.5969999991</v>
      </c>
      <c r="I986" s="14">
        <v>5180925.2699999996</v>
      </c>
      <c r="J986" t="s">
        <v>1052</v>
      </c>
      <c r="K986" s="10">
        <v>0.15357999999999999</v>
      </c>
      <c r="M986" s="10">
        <v>0.16600490566037729</v>
      </c>
      <c r="N986" s="10">
        <v>0.14219134615384621</v>
      </c>
      <c r="O986" s="10">
        <v>0.1576773076923077</v>
      </c>
      <c r="P986" s="10">
        <v>0.13738192307692301</v>
      </c>
      <c r="Q986" s="10">
        <v>0.13470903846153851</v>
      </c>
      <c r="R986" s="10">
        <v>0.1366861538461539</v>
      </c>
      <c r="S986" s="10">
        <v>0.13747754716981131</v>
      </c>
      <c r="T986" s="10">
        <v>0.13801346153846161</v>
      </c>
      <c r="U986" s="10">
        <v>0.14520038461538459</v>
      </c>
      <c r="V986" s="10">
        <v>0.15526365384615379</v>
      </c>
      <c r="W986" s="10">
        <v>0.16833769230769219</v>
      </c>
      <c r="X986" s="10">
        <v>0.16529698113207561</v>
      </c>
      <c r="Y986" s="10">
        <v>0.1555609756097561</v>
      </c>
      <c r="Z986" s="11">
        <f t="shared" si="15"/>
        <v>0.20931767000000001</v>
      </c>
    </row>
    <row r="987" spans="1:26" x14ac:dyDescent="0.3">
      <c r="A987" t="s">
        <v>986</v>
      </c>
      <c r="B987" t="s">
        <v>3465</v>
      </c>
      <c r="C987" t="s">
        <v>3466</v>
      </c>
      <c r="D987" t="s">
        <v>1015</v>
      </c>
      <c r="E987" t="s">
        <v>1022</v>
      </c>
      <c r="F987" t="s">
        <v>2108</v>
      </c>
      <c r="G987" t="s">
        <v>2040</v>
      </c>
      <c r="H987" s="13">
        <v>9880444.125</v>
      </c>
      <c r="I987" s="14">
        <v>5158517.9000000004</v>
      </c>
      <c r="J987" t="s">
        <v>1052</v>
      </c>
      <c r="K987" s="10">
        <v>0.16863</v>
      </c>
      <c r="M987" s="10">
        <v>0.64730150943396214</v>
      </c>
      <c r="N987" s="10">
        <v>0.61093750000000002</v>
      </c>
      <c r="O987" s="10">
        <v>0.46012269230769232</v>
      </c>
      <c r="P987" s="10">
        <v>0.45719307692307731</v>
      </c>
      <c r="Q987" s="10">
        <v>0.38638865384615401</v>
      </c>
      <c r="R987" s="10">
        <v>0.30072788461538458</v>
      </c>
      <c r="S987" s="10">
        <v>0.28391849056603768</v>
      </c>
      <c r="T987" s="10">
        <v>0.26760038461538471</v>
      </c>
      <c r="U987" s="10">
        <v>0.22926442307692321</v>
      </c>
      <c r="V987" s="10">
        <v>0.20497865384615391</v>
      </c>
      <c r="W987" s="10">
        <v>0.18600942307692311</v>
      </c>
      <c r="X987" s="10">
        <v>0.1814977358490566</v>
      </c>
      <c r="Y987" s="10">
        <v>0.16935951219512199</v>
      </c>
      <c r="Z987" s="11">
        <f t="shared" si="15"/>
        <v>-0.39647188</v>
      </c>
    </row>
    <row r="988" spans="1:26" x14ac:dyDescent="0.3">
      <c r="A988" t="s">
        <v>987</v>
      </c>
      <c r="B988" t="s">
        <v>3467</v>
      </c>
      <c r="C988" t="s">
        <v>3468</v>
      </c>
      <c r="D988" t="s">
        <v>1014</v>
      </c>
      <c r="E988" t="s">
        <v>1027</v>
      </c>
      <c r="F988" t="s">
        <v>1270</v>
      </c>
      <c r="G988" t="s">
        <v>1799</v>
      </c>
      <c r="H988" s="13">
        <v>748128</v>
      </c>
      <c r="I988" s="14">
        <v>5157940.16</v>
      </c>
      <c r="J988" t="s">
        <v>1052</v>
      </c>
      <c r="K988" s="10">
        <v>6.8338299999999998</v>
      </c>
      <c r="M988" s="10">
        <v>6.8987569811320766</v>
      </c>
      <c r="N988" s="10">
        <v>6.9555555769230786</v>
      </c>
      <c r="O988" s="10">
        <v>6.8783282692307646</v>
      </c>
      <c r="P988" s="10">
        <v>6.8559573076923019</v>
      </c>
      <c r="Q988" s="10">
        <v>6.8455499999999994</v>
      </c>
      <c r="R988" s="10">
        <v>6.8525592307692316</v>
      </c>
      <c r="S988" s="10">
        <v>6.8372883018867947</v>
      </c>
      <c r="T988" s="10">
        <v>6.8177473076923043</v>
      </c>
      <c r="U988" s="10">
        <v>6.8366750000000076</v>
      </c>
      <c r="V988" s="10">
        <v>6.8369023076923048</v>
      </c>
      <c r="W988" s="10">
        <v>6.8315555769230736</v>
      </c>
      <c r="X988" s="10">
        <v>6.8173498113207573</v>
      </c>
      <c r="Y988" s="10">
        <v>6.8163587804878034</v>
      </c>
      <c r="Z988" s="11">
        <f t="shared" si="15"/>
        <v>-5.1381400000000002E-3</v>
      </c>
    </row>
    <row r="989" spans="1:26" x14ac:dyDescent="0.3">
      <c r="A989" t="s">
        <v>988</v>
      </c>
      <c r="B989" t="s">
        <v>3469</v>
      </c>
      <c r="C989" t="s">
        <v>2638</v>
      </c>
      <c r="D989" t="s">
        <v>1015</v>
      </c>
      <c r="E989" t="s">
        <v>1032</v>
      </c>
      <c r="F989" t="s">
        <v>1551</v>
      </c>
      <c r="G989" t="s">
        <v>2639</v>
      </c>
      <c r="H989" s="13">
        <v>9124347.0800000001</v>
      </c>
      <c r="I989" s="14">
        <v>5155141.25</v>
      </c>
      <c r="J989" t="s">
        <v>1061</v>
      </c>
      <c r="K989" s="10">
        <v>0.27283000000000002</v>
      </c>
      <c r="M989" s="10">
        <v>1.1381141509433961</v>
      </c>
      <c r="N989" s="10">
        <v>0.9478700000000001</v>
      </c>
      <c r="O989" s="10">
        <v>0.71252499999999996</v>
      </c>
      <c r="P989" s="10">
        <v>0.53920615384615378</v>
      </c>
      <c r="Q989" s="10">
        <v>0.43716153846153821</v>
      </c>
      <c r="R989" s="10">
        <v>0.35709673076923087</v>
      </c>
      <c r="S989" s="10">
        <v>0.34300603773584909</v>
      </c>
      <c r="T989" s="10">
        <v>0.31339211538461548</v>
      </c>
      <c r="U989" s="10">
        <v>0.28933807692307711</v>
      </c>
      <c r="V989" s="10">
        <v>0.30861596153846149</v>
      </c>
      <c r="W989" s="10">
        <v>0.2710265384615384</v>
      </c>
      <c r="X989" s="10">
        <v>0.28404471698113198</v>
      </c>
      <c r="Y989" s="10">
        <v>0.28150097560975612</v>
      </c>
      <c r="Z989" s="11">
        <f t="shared" si="15"/>
        <v>-0.20457206</v>
      </c>
    </row>
    <row r="990" spans="1:26" x14ac:dyDescent="0.3">
      <c r="A990" t="s">
        <v>989</v>
      </c>
      <c r="B990" t="s">
        <v>3470</v>
      </c>
      <c r="C990" t="s">
        <v>2921</v>
      </c>
      <c r="D990" t="s">
        <v>1015</v>
      </c>
      <c r="E990" t="s">
        <v>1030</v>
      </c>
      <c r="F990" t="s">
        <v>1624</v>
      </c>
      <c r="G990" t="s">
        <v>1619</v>
      </c>
      <c r="H990" s="13">
        <v>1016292</v>
      </c>
      <c r="I990" s="14">
        <v>5143162.66</v>
      </c>
      <c r="J990" t="s">
        <v>1052</v>
      </c>
      <c r="K990" s="10">
        <v>4.4855700000000001</v>
      </c>
      <c r="R990" s="10">
        <v>10.94478</v>
      </c>
      <c r="S990" s="10">
        <v>9.1373420754716985</v>
      </c>
      <c r="T990" s="10">
        <v>7.499046346153845</v>
      </c>
      <c r="U990" s="10">
        <v>7.1194644230769217</v>
      </c>
      <c r="V990" s="10">
        <v>6.8827861538461548</v>
      </c>
      <c r="W990" s="10">
        <v>5.3617721153846141</v>
      </c>
      <c r="X990" s="10">
        <v>4.4181600000000012</v>
      </c>
      <c r="Y990" s="10">
        <v>4.3330407317073156</v>
      </c>
      <c r="Z990" s="11">
        <f t="shared" si="15"/>
        <v>-0.59632262999999996</v>
      </c>
    </row>
    <row r="991" spans="1:26" x14ac:dyDescent="0.3">
      <c r="A991" t="s">
        <v>990</v>
      </c>
      <c r="B991" t="s">
        <v>3471</v>
      </c>
      <c r="C991" t="s">
        <v>2730</v>
      </c>
      <c r="D991" t="s">
        <v>1015</v>
      </c>
      <c r="E991" t="s">
        <v>1027</v>
      </c>
      <c r="F991" t="s">
        <v>2803</v>
      </c>
      <c r="G991" t="s">
        <v>2732</v>
      </c>
      <c r="H991" s="13">
        <v>35456079.600000001</v>
      </c>
      <c r="I991" s="14">
        <v>5138644.16</v>
      </c>
      <c r="J991" t="s">
        <v>1052</v>
      </c>
      <c r="K991" s="10">
        <v>3.1419999999999997E-2</v>
      </c>
      <c r="M991" s="10">
        <v>5.3768301886792429E-2</v>
      </c>
      <c r="N991" s="10">
        <v>4.7307115384615378E-2</v>
      </c>
      <c r="O991" s="10">
        <v>4.3860576923076919E-2</v>
      </c>
      <c r="P991" s="10">
        <v>4.1575769230769229E-2</v>
      </c>
      <c r="Q991" s="10">
        <v>4.8253076923076947E-2</v>
      </c>
      <c r="R991" s="10">
        <v>5.4134615384615378E-2</v>
      </c>
      <c r="S991" s="10">
        <v>5.4537169811320778E-2</v>
      </c>
      <c r="T991" s="10">
        <v>5.0152115384615392E-2</v>
      </c>
      <c r="U991" s="10">
        <v>4.6376730769230767E-2</v>
      </c>
      <c r="V991" s="10">
        <v>4.2780384615384609E-2</v>
      </c>
      <c r="W991" s="10">
        <v>3.839653846153844E-2</v>
      </c>
      <c r="X991" s="10">
        <v>3.5198490566037743E-2</v>
      </c>
      <c r="Y991" s="10">
        <v>3.2288780487804869E-2</v>
      </c>
      <c r="Z991" s="11">
        <f t="shared" si="15"/>
        <v>-0.34979697999999998</v>
      </c>
    </row>
    <row r="992" spans="1:26" x14ac:dyDescent="0.3">
      <c r="A992" t="s">
        <v>991</v>
      </c>
      <c r="B992" t="s">
        <v>3472</v>
      </c>
      <c r="C992" t="s">
        <v>3473</v>
      </c>
      <c r="D992" t="s">
        <v>1015</v>
      </c>
      <c r="E992" t="s">
        <v>1032</v>
      </c>
      <c r="F992" t="s">
        <v>2043</v>
      </c>
      <c r="G992" t="s">
        <v>2754</v>
      </c>
      <c r="H992" s="13">
        <v>27113357.140000001</v>
      </c>
      <c r="I992" s="14">
        <v>5132973.1500000004</v>
      </c>
      <c r="J992" t="s">
        <v>1052</v>
      </c>
      <c r="K992" s="10">
        <v>8.1960000000000005E-2</v>
      </c>
      <c r="U992" s="10">
        <v>9.8528461538461523E-2</v>
      </c>
      <c r="V992" s="10">
        <v>9.7339038461538463E-2</v>
      </c>
      <c r="W992" s="10">
        <v>7.824192307692307E-2</v>
      </c>
      <c r="X992" s="10">
        <v>8.1624339622641512E-2</v>
      </c>
      <c r="Y992" s="10">
        <v>8.1698292682926832E-2</v>
      </c>
      <c r="Z992" s="11" t="str">
        <f t="shared" si="15"/>
        <v/>
      </c>
    </row>
    <row r="993" spans="1:26" x14ac:dyDescent="0.3">
      <c r="A993" t="s">
        <v>992</v>
      </c>
      <c r="B993" t="s">
        <v>3474</v>
      </c>
      <c r="C993" t="s">
        <v>3398</v>
      </c>
      <c r="D993" t="s">
        <v>1015</v>
      </c>
      <c r="E993" t="s">
        <v>1026</v>
      </c>
      <c r="F993" t="s">
        <v>2108</v>
      </c>
      <c r="G993" t="s">
        <v>3399</v>
      </c>
      <c r="H993" s="13">
        <v>20116839.969999999</v>
      </c>
      <c r="I993" s="14">
        <v>5132934.74</v>
      </c>
      <c r="J993" t="s">
        <v>1061</v>
      </c>
      <c r="K993" s="10">
        <v>0.11756999999999999</v>
      </c>
      <c r="M993" s="10">
        <v>0.69121924528301892</v>
      </c>
      <c r="N993" s="10">
        <v>0.57376519230769241</v>
      </c>
      <c r="O993" s="10">
        <v>0.47408634615384609</v>
      </c>
      <c r="P993" s="10">
        <v>0.29106519230769229</v>
      </c>
      <c r="Q993" s="10">
        <v>0.20574942307692309</v>
      </c>
      <c r="R993" s="10">
        <v>0.16574596153846161</v>
      </c>
      <c r="S993" s="10">
        <v>0.1671356603773585</v>
      </c>
      <c r="T993" s="10">
        <v>0.1656186538461539</v>
      </c>
      <c r="U993" s="10">
        <v>0.15354038461538469</v>
      </c>
      <c r="V993" s="10">
        <v>0.18752846153846151</v>
      </c>
      <c r="W993" s="10">
        <v>0.16039</v>
      </c>
      <c r="X993" s="10">
        <v>0.1364156603773585</v>
      </c>
      <c r="Y993" s="10">
        <v>0.1239378048780488</v>
      </c>
      <c r="Z993" s="11">
        <f t="shared" si="15"/>
        <v>-0.17695937</v>
      </c>
    </row>
    <row r="994" spans="1:26" x14ac:dyDescent="0.3">
      <c r="A994" t="s">
        <v>993</v>
      </c>
      <c r="B994" t="s">
        <v>3475</v>
      </c>
      <c r="C994" t="s">
        <v>3476</v>
      </c>
      <c r="D994" t="s">
        <v>1015</v>
      </c>
      <c r="E994" t="s">
        <v>1026</v>
      </c>
      <c r="F994" t="s">
        <v>2108</v>
      </c>
      <c r="G994" t="s">
        <v>3477</v>
      </c>
      <c r="H994" s="13">
        <v>3380634.9240000001</v>
      </c>
      <c r="I994" s="14">
        <v>5126254.68</v>
      </c>
      <c r="J994" t="s">
        <v>1052</v>
      </c>
      <c r="K994" s="10">
        <v>0.26556999999999997</v>
      </c>
      <c r="R994" s="10">
        <v>0.54818468085106387</v>
      </c>
      <c r="S994" s="10">
        <v>0.58837207547169823</v>
      </c>
      <c r="T994" s="10">
        <v>0.51836192307692319</v>
      </c>
      <c r="U994" s="10">
        <v>0.41214499999999987</v>
      </c>
      <c r="V994" s="10">
        <v>0.34615442307692312</v>
      </c>
      <c r="W994" s="10">
        <v>0.36372057692307691</v>
      </c>
      <c r="X994" s="10">
        <v>0.35474811320754718</v>
      </c>
      <c r="Y994" s="10">
        <v>0.28191682926829281</v>
      </c>
      <c r="Z994" s="11">
        <f t="shared" si="15"/>
        <v>-0.35286751999999999</v>
      </c>
    </row>
    <row r="995" spans="1:26" x14ac:dyDescent="0.3">
      <c r="A995" t="s">
        <v>994</v>
      </c>
      <c r="B995" t="s">
        <v>3478</v>
      </c>
      <c r="C995" t="s">
        <v>2282</v>
      </c>
      <c r="D995" t="s">
        <v>1015</v>
      </c>
      <c r="E995" t="s">
        <v>1022</v>
      </c>
      <c r="F995" t="s">
        <v>2052</v>
      </c>
      <c r="G995" t="s">
        <v>2283</v>
      </c>
      <c r="H995" s="13">
        <v>22472738.443999998</v>
      </c>
      <c r="I995" s="14">
        <v>5119011.45</v>
      </c>
      <c r="J995" t="s">
        <v>1052</v>
      </c>
      <c r="K995" s="10">
        <v>4.9820000000000003E-2</v>
      </c>
      <c r="M995" s="10">
        <v>0.16611169811320761</v>
      </c>
      <c r="N995" s="10">
        <v>0.1542301923076923</v>
      </c>
      <c r="O995" s="10">
        <v>0.1208201923076923</v>
      </c>
      <c r="P995" s="10">
        <v>9.6063461538461514E-2</v>
      </c>
      <c r="Q995" s="10">
        <v>7.8000769230769235E-2</v>
      </c>
      <c r="R995" s="10">
        <v>6.8846923076923069E-2</v>
      </c>
      <c r="S995" s="10">
        <v>6.5758867924528328E-2</v>
      </c>
      <c r="T995" s="10">
        <v>6.3779807692307719E-2</v>
      </c>
      <c r="U995" s="10">
        <v>6.0263269230769197E-2</v>
      </c>
      <c r="V995" s="10">
        <v>5.6588076923076949E-2</v>
      </c>
      <c r="W995" s="10">
        <v>5.0419423076923077E-2</v>
      </c>
      <c r="X995" s="10">
        <v>5.2112641509433982E-2</v>
      </c>
      <c r="Y995" s="10">
        <v>5.0483414634146351E-2</v>
      </c>
      <c r="Z995" s="11">
        <f t="shared" si="15"/>
        <v>-0.24306506</v>
      </c>
    </row>
    <row r="996" spans="1:26" x14ac:dyDescent="0.3">
      <c r="A996" t="s">
        <v>995</v>
      </c>
      <c r="B996" t="s">
        <v>3479</v>
      </c>
      <c r="C996" t="s">
        <v>3480</v>
      </c>
      <c r="D996" t="s">
        <v>1015</v>
      </c>
      <c r="E996" t="s">
        <v>1026</v>
      </c>
      <c r="F996" t="s">
        <v>2108</v>
      </c>
      <c r="G996" t="s">
        <v>3399</v>
      </c>
      <c r="H996" s="13">
        <v>5932675.75</v>
      </c>
      <c r="I996" s="14">
        <v>5114858.2300000004</v>
      </c>
      <c r="J996" t="s">
        <v>1052</v>
      </c>
      <c r="K996" s="10">
        <v>0.45807999999999999</v>
      </c>
      <c r="M996" s="10">
        <v>1.272081886792453</v>
      </c>
      <c r="N996" s="10">
        <v>1.02290326923077</v>
      </c>
      <c r="O996" s="10">
        <v>0.8257501923076922</v>
      </c>
      <c r="P996" s="10">
        <v>0.68088019230769237</v>
      </c>
      <c r="Q996" s="10">
        <v>0.53999826923076921</v>
      </c>
      <c r="R996" s="10">
        <v>0.4977578846153845</v>
      </c>
      <c r="S996" s="10">
        <v>0.49988509433962258</v>
      </c>
      <c r="T996" s="10">
        <v>0.50068653846153843</v>
      </c>
      <c r="U996" s="10">
        <v>0.45284480769230778</v>
      </c>
      <c r="V996" s="10">
        <v>0.47475961538461531</v>
      </c>
      <c r="W996" s="10">
        <v>0.45734230769230799</v>
      </c>
      <c r="X996" s="10">
        <v>0.45910698113207549</v>
      </c>
      <c r="Y996" s="10">
        <v>0.46376439024390231</v>
      </c>
      <c r="Z996" s="11">
        <f t="shared" si="15"/>
        <v>-7.7650010000000005E-2</v>
      </c>
    </row>
    <row r="997" spans="1:26" x14ac:dyDescent="0.3">
      <c r="A997" t="s">
        <v>996</v>
      </c>
      <c r="B997" t="s">
        <v>3481</v>
      </c>
      <c r="C997" t="s">
        <v>3482</v>
      </c>
      <c r="D997" t="s">
        <v>1014</v>
      </c>
      <c r="E997" t="s">
        <v>1027</v>
      </c>
      <c r="F997" t="s">
        <v>1055</v>
      </c>
      <c r="G997" t="s">
        <v>2993</v>
      </c>
      <c r="H997" s="13">
        <v>621216</v>
      </c>
      <c r="I997" s="14">
        <v>5112771.05</v>
      </c>
      <c r="J997" t="s">
        <v>1052</v>
      </c>
      <c r="K997" s="10">
        <v>8.1505399999999995</v>
      </c>
      <c r="M997" s="10">
        <v>3.0200052830188668</v>
      </c>
      <c r="N997" s="10">
        <v>3.6600949999999992</v>
      </c>
      <c r="O997" s="10">
        <v>4.5159382692307721</v>
      </c>
      <c r="P997" s="10">
        <v>5.1070886538461524</v>
      </c>
      <c r="Q997" s="10">
        <v>5.562982500000003</v>
      </c>
      <c r="R997" s="10">
        <v>6.0877982692307686</v>
      </c>
      <c r="S997" s="10">
        <v>6.3884407547169797</v>
      </c>
      <c r="T997" s="10">
        <v>6.7219350000000002</v>
      </c>
      <c r="U997" s="10">
        <v>7.0432207692307731</v>
      </c>
      <c r="V997" s="10">
        <v>7.4172459615384634</v>
      </c>
      <c r="W997" s="10">
        <v>7.7781513461538516</v>
      </c>
      <c r="X997" s="10">
        <v>8.157410754716981</v>
      </c>
      <c r="Y997" s="10">
        <v>8.1598785365853637</v>
      </c>
      <c r="Z997" s="11">
        <f t="shared" si="15"/>
        <v>0.33996074999999998</v>
      </c>
    </row>
    <row r="998" spans="1:26" x14ac:dyDescent="0.3">
      <c r="A998" t="s">
        <v>997</v>
      </c>
      <c r="B998" t="s">
        <v>3483</v>
      </c>
      <c r="C998" t="s">
        <v>3484</v>
      </c>
      <c r="D998" t="s">
        <v>1015</v>
      </c>
      <c r="E998" t="s">
        <v>1026</v>
      </c>
      <c r="F998" t="s">
        <v>2234</v>
      </c>
      <c r="G998" t="s">
        <v>3278</v>
      </c>
      <c r="H998" s="13">
        <v>1404316.8</v>
      </c>
      <c r="I998" s="14">
        <v>5111505.09</v>
      </c>
      <c r="J998" t="s">
        <v>1061</v>
      </c>
      <c r="K998" s="10">
        <v>1.68598</v>
      </c>
      <c r="X998" s="10">
        <v>3.0965864150943401</v>
      </c>
      <c r="Y998" s="10">
        <v>1.990804634146341</v>
      </c>
      <c r="Z998" s="11" t="str">
        <f t="shared" si="15"/>
        <v/>
      </c>
    </row>
    <row r="999" spans="1:26" x14ac:dyDescent="0.3">
      <c r="A999" t="s">
        <v>998</v>
      </c>
      <c r="B999" t="s">
        <v>3485</v>
      </c>
      <c r="C999" t="s">
        <v>3486</v>
      </c>
      <c r="D999" t="s">
        <v>1015</v>
      </c>
      <c r="E999" t="s">
        <v>1032</v>
      </c>
      <c r="F999" t="s">
        <v>2027</v>
      </c>
      <c r="G999" t="s">
        <v>2833</v>
      </c>
      <c r="H999" s="13">
        <v>80459741</v>
      </c>
      <c r="I999" s="14">
        <v>5109434.34</v>
      </c>
      <c r="J999" t="s">
        <v>1061</v>
      </c>
      <c r="K999" s="10">
        <v>4.1390000000000003E-2</v>
      </c>
      <c r="Q999" s="10">
        <v>4.1016190476190463E-2</v>
      </c>
      <c r="R999" s="10">
        <v>3.8475961538461542E-2</v>
      </c>
      <c r="S999" s="10">
        <v>3.8016981132075481E-2</v>
      </c>
      <c r="T999" s="10">
        <v>3.939019230769232E-2</v>
      </c>
      <c r="U999" s="10">
        <v>4.3173076923076911E-2</v>
      </c>
      <c r="V999" s="10">
        <v>4.329365384615385E-2</v>
      </c>
      <c r="W999" s="10">
        <v>3.9602499999999992E-2</v>
      </c>
      <c r="X999" s="10">
        <v>4.1618301886792462E-2</v>
      </c>
      <c r="Y999" s="10">
        <v>4.0733902439024403E-2</v>
      </c>
      <c r="Z999" s="11">
        <f t="shared" si="15"/>
        <v>8.1670220000000002E-2</v>
      </c>
    </row>
    <row r="1000" spans="1:26" x14ac:dyDescent="0.3">
      <c r="A1000" t="s">
        <v>999</v>
      </c>
      <c r="B1000" t="s">
        <v>3487</v>
      </c>
      <c r="C1000" t="s">
        <v>3488</v>
      </c>
      <c r="D1000" t="s">
        <v>1014</v>
      </c>
      <c r="E1000" t="s">
        <v>1022</v>
      </c>
      <c r="F1000" t="s">
        <v>2897</v>
      </c>
      <c r="G1000" t="s">
        <v>2898</v>
      </c>
      <c r="H1000" s="13">
        <v>961123</v>
      </c>
      <c r="I1000" s="14">
        <v>5098047.87</v>
      </c>
      <c r="J1000" t="s">
        <v>1052</v>
      </c>
      <c r="K1000" s="10">
        <v>5.3286699999999998</v>
      </c>
      <c r="P1000" s="10">
        <v>4.0387049999999967</v>
      </c>
      <c r="W1000" s="10">
        <v>5.1796854054054036</v>
      </c>
      <c r="X1000" s="10">
        <v>5.2167466037735828</v>
      </c>
      <c r="Y1000" s="10">
        <v>5.340358536585363</v>
      </c>
      <c r="Z1000" s="11" t="str">
        <f t="shared" si="15"/>
        <v/>
      </c>
    </row>
    <row r="1001" spans="1:26" x14ac:dyDescent="0.3">
      <c r="A1001" t="s">
        <v>1000</v>
      </c>
      <c r="B1001" t="s">
        <v>3489</v>
      </c>
      <c r="C1001" t="s">
        <v>3490</v>
      </c>
      <c r="D1001" t="s">
        <v>1015</v>
      </c>
      <c r="E1001" t="s">
        <v>1030</v>
      </c>
      <c r="F1001" t="s">
        <v>2677</v>
      </c>
      <c r="G1001" t="s">
        <v>2871</v>
      </c>
      <c r="H1001" s="13">
        <v>15609783.5</v>
      </c>
      <c r="I1001" s="14">
        <v>5094817.6399999997</v>
      </c>
      <c r="J1001" t="s">
        <v>1052</v>
      </c>
      <c r="K1001" s="10">
        <v>0.28660999999999998</v>
      </c>
      <c r="M1001" s="10">
        <v>0.26203471698113212</v>
      </c>
      <c r="N1001" s="10">
        <v>0.25561423076923068</v>
      </c>
      <c r="O1001" s="10">
        <v>0.24794211538461541</v>
      </c>
      <c r="P1001" s="10">
        <v>0.2430475</v>
      </c>
      <c r="Q1001" s="10">
        <v>0.2354563461538462</v>
      </c>
      <c r="R1001" s="10">
        <v>0.24561557692307681</v>
      </c>
      <c r="S1001" s="10">
        <v>0.24624698113207549</v>
      </c>
      <c r="T1001" s="10">
        <v>0.24345326923076929</v>
      </c>
      <c r="U1001" s="10">
        <v>0.26769365384615368</v>
      </c>
      <c r="V1001" s="10">
        <v>0.28477884615384608</v>
      </c>
      <c r="W1001" s="10">
        <v>0.28113923076923081</v>
      </c>
      <c r="X1001" s="10">
        <v>0.27146415094339632</v>
      </c>
      <c r="Y1001" s="10">
        <v>0.28252878048780489</v>
      </c>
      <c r="Z1001" s="11">
        <f t="shared" si="15"/>
        <v>0.10523995999999999</v>
      </c>
    </row>
    <row r="1002" spans="1:26" x14ac:dyDescent="0.3">
      <c r="A1002" t="s">
        <v>1001</v>
      </c>
      <c r="B1002" t="s">
        <v>3491</v>
      </c>
      <c r="C1002" t="s">
        <v>3492</v>
      </c>
      <c r="D1002" t="s">
        <v>1014</v>
      </c>
      <c r="E1002" t="s">
        <v>1019</v>
      </c>
      <c r="F1002" t="s">
        <v>1305</v>
      </c>
      <c r="G1002" t="s">
        <v>3493</v>
      </c>
      <c r="H1002" s="13">
        <v>648077</v>
      </c>
      <c r="I1002" s="14">
        <v>3784025.79</v>
      </c>
      <c r="J1002" t="s">
        <v>1052</v>
      </c>
      <c r="K1002" s="10">
        <v>5.7117100000000001</v>
      </c>
      <c r="R1002" s="10">
        <v>4.4969312499999994</v>
      </c>
      <c r="S1002" s="10">
        <v>4.7074952830188694</v>
      </c>
      <c r="T1002" s="10">
        <v>4.9431280769230757</v>
      </c>
      <c r="U1002" s="10">
        <v>5.1907828846153894</v>
      </c>
      <c r="V1002" s="10">
        <v>5.4474769230769233</v>
      </c>
      <c r="W1002" s="10">
        <v>5.724054615384615</v>
      </c>
      <c r="X1002" s="10">
        <v>5.7228471698113186</v>
      </c>
      <c r="Y1002" s="10">
        <v>5.7188051219512221</v>
      </c>
      <c r="Z1002" s="11">
        <f t="shared" si="15"/>
        <v>0.27261166999999997</v>
      </c>
    </row>
    <row r="1003" spans="1:26" x14ac:dyDescent="0.3">
      <c r="A1003" t="s">
        <v>1002</v>
      </c>
      <c r="B1003" t="s">
        <v>3494</v>
      </c>
      <c r="C1003" t="s">
        <v>3495</v>
      </c>
      <c r="D1003" t="s">
        <v>1014</v>
      </c>
      <c r="E1003" t="s">
        <v>1026</v>
      </c>
      <c r="F1003" t="s">
        <v>1305</v>
      </c>
      <c r="G1003" t="s">
        <v>3496</v>
      </c>
      <c r="H1003" s="13">
        <v>6504</v>
      </c>
      <c r="I1003" s="14">
        <v>2857556.02</v>
      </c>
      <c r="J1003" t="s">
        <v>1052</v>
      </c>
      <c r="K1003" s="10">
        <v>475.79029000000003</v>
      </c>
      <c r="X1003" s="10">
        <v>445.49983000000032</v>
      </c>
      <c r="Z1003" s="11" t="str">
        <f t="shared" si="15"/>
        <v/>
      </c>
    </row>
    <row r="1004" spans="1:26" x14ac:dyDescent="0.3">
      <c r="A1004" t="s">
        <v>1003</v>
      </c>
      <c r="B1004" t="s">
        <v>3497</v>
      </c>
      <c r="C1004" t="s">
        <v>3498</v>
      </c>
      <c r="D1004" t="s">
        <v>1014</v>
      </c>
      <c r="E1004" t="s">
        <v>1018</v>
      </c>
      <c r="F1004" t="s">
        <v>1305</v>
      </c>
      <c r="G1004" t="s">
        <v>3499</v>
      </c>
      <c r="H1004" s="13">
        <v>117624</v>
      </c>
      <c r="I1004" s="14">
        <v>2628572.54</v>
      </c>
      <c r="J1004" t="s">
        <v>1052</v>
      </c>
      <c r="K1004" s="10">
        <v>22.724799999999998</v>
      </c>
      <c r="U1004" s="10">
        <v>19.673729999999988</v>
      </c>
      <c r="V1004" s="10">
        <v>20.597384807692301</v>
      </c>
      <c r="W1004" s="10">
        <v>21.5102096153846</v>
      </c>
      <c r="X1004" s="10">
        <v>22.187855660377359</v>
      </c>
      <c r="Y1004" s="10">
        <v>22.722565853658541</v>
      </c>
      <c r="Z1004" s="11" t="str">
        <f t="shared" si="15"/>
        <v/>
      </c>
    </row>
    <row r="1005" spans="1:26" x14ac:dyDescent="0.3">
      <c r="A1005" t="s">
        <v>1004</v>
      </c>
      <c r="B1005" t="s">
        <v>3500</v>
      </c>
      <c r="C1005" t="s">
        <v>3501</v>
      </c>
      <c r="D1005" t="s">
        <v>1014</v>
      </c>
      <c r="E1005" t="s">
        <v>1705</v>
      </c>
      <c r="F1005" t="s">
        <v>1305</v>
      </c>
      <c r="G1005" t="s">
        <v>3502</v>
      </c>
      <c r="H1005" s="13">
        <v>10113.487999999999</v>
      </c>
      <c r="I1005" s="14">
        <v>1259323.53</v>
      </c>
      <c r="J1005" t="s">
        <v>1052</v>
      </c>
      <c r="K1005" s="10">
        <v>187.77376000000001</v>
      </c>
      <c r="S1005" s="10">
        <v>152.8000000000001</v>
      </c>
      <c r="W1005" s="10">
        <v>159.28928621621611</v>
      </c>
      <c r="X1005" s="10">
        <v>169.50800867924531</v>
      </c>
      <c r="Y1005" s="10">
        <v>180.3459848780488</v>
      </c>
      <c r="Z1005" s="11" t="str">
        <f t="shared" si="15"/>
        <v/>
      </c>
    </row>
    <row r="1006" spans="1:26" x14ac:dyDescent="0.3">
      <c r="A1006" t="s">
        <v>1005</v>
      </c>
      <c r="B1006" t="s">
        <v>3503</v>
      </c>
      <c r="C1006" t="s">
        <v>3504</v>
      </c>
      <c r="D1006" t="s">
        <v>1014</v>
      </c>
      <c r="E1006" t="s">
        <v>1022</v>
      </c>
      <c r="F1006" t="s">
        <v>1305</v>
      </c>
      <c r="G1006" t="s">
        <v>3505</v>
      </c>
      <c r="H1006" s="13">
        <v>2030</v>
      </c>
      <c r="I1006" s="14">
        <v>421220.33</v>
      </c>
      <c r="J1006" t="s">
        <v>1052</v>
      </c>
      <c r="K1006" s="10">
        <v>208.983</v>
      </c>
      <c r="M1006" s="10">
        <v>115.4021269811322</v>
      </c>
      <c r="N1006" s="10">
        <v>141.42154288461549</v>
      </c>
      <c r="O1006" s="10">
        <v>167.19628096153841</v>
      </c>
      <c r="P1006" s="10">
        <v>190.98220884615381</v>
      </c>
      <c r="Q1006" s="10">
        <v>209.87568115384599</v>
      </c>
      <c r="X1006" s="10">
        <v>208.98300000000009</v>
      </c>
      <c r="Z1006" s="11" t="str">
        <f t="shared" si="15"/>
        <v/>
      </c>
    </row>
    <row r="1007" spans="1:26" x14ac:dyDescent="0.3">
      <c r="A1007" t="s">
        <v>1006</v>
      </c>
      <c r="B1007" t="s">
        <v>3506</v>
      </c>
      <c r="C1007" t="s">
        <v>3507</v>
      </c>
      <c r="D1007" t="s">
        <v>1014</v>
      </c>
      <c r="E1007" t="s">
        <v>1019</v>
      </c>
      <c r="F1007" t="s">
        <v>1305</v>
      </c>
      <c r="G1007" t="s">
        <v>3508</v>
      </c>
      <c r="H1007" s="13">
        <v>22933</v>
      </c>
      <c r="I1007" s="14">
        <v>411221.22</v>
      </c>
      <c r="J1007" t="s">
        <v>1052</v>
      </c>
      <c r="K1007" s="10">
        <v>17.58643</v>
      </c>
      <c r="S1007" s="10">
        <v>17.563606799999999</v>
      </c>
      <c r="T1007" s="10">
        <v>17.610996730769219</v>
      </c>
      <c r="U1007" s="10">
        <v>17.648745384615381</v>
      </c>
      <c r="V1007" s="10">
        <v>17.644017692307699</v>
      </c>
      <c r="W1007" s="10">
        <v>17.673876153846152</v>
      </c>
      <c r="X1007" s="10">
        <v>17.724989622641509</v>
      </c>
      <c r="Y1007" s="10">
        <v>17.56790365853659</v>
      </c>
      <c r="Z1007" s="11" t="str">
        <f t="shared" si="15"/>
        <v/>
      </c>
    </row>
    <row r="1008" spans="1:26" x14ac:dyDescent="0.3">
      <c r="A1008" t="s">
        <v>1007</v>
      </c>
      <c r="B1008" t="s">
        <v>3509</v>
      </c>
      <c r="C1008" t="s">
        <v>3510</v>
      </c>
      <c r="D1008" t="s">
        <v>1014</v>
      </c>
      <c r="E1008" t="s">
        <v>1705</v>
      </c>
      <c r="F1008" t="s">
        <v>1305</v>
      </c>
      <c r="G1008" t="s">
        <v>3511</v>
      </c>
      <c r="H1008" s="13">
        <v>1823.5</v>
      </c>
      <c r="I1008" s="14">
        <v>21232.6</v>
      </c>
      <c r="J1008" t="s">
        <v>1061</v>
      </c>
      <c r="K1008" s="10">
        <v>7.524</v>
      </c>
      <c r="Q1008" s="10">
        <v>7.2453299999999974</v>
      </c>
      <c r="R1008" s="10">
        <v>7.2453299999999983</v>
      </c>
      <c r="T1008" s="10">
        <v>7.1899999999999986</v>
      </c>
      <c r="Z1008" s="11" t="str">
        <f t="shared" si="15"/>
        <v/>
      </c>
    </row>
    <row r="1009" spans="1:26" x14ac:dyDescent="0.3">
      <c r="A1009" t="s">
        <v>1008</v>
      </c>
      <c r="B1009" t="s">
        <v>3512</v>
      </c>
      <c r="C1009" t="s">
        <v>3513</v>
      </c>
      <c r="D1009" t="s">
        <v>1014</v>
      </c>
      <c r="E1009" t="s">
        <v>1026</v>
      </c>
      <c r="F1009" t="s">
        <v>1305</v>
      </c>
      <c r="G1009" t="s">
        <v>3514</v>
      </c>
      <c r="H1009" s="13">
        <v>1573</v>
      </c>
      <c r="I1009" s="14">
        <v>9619.33</v>
      </c>
      <c r="J1009" t="s">
        <v>1052</v>
      </c>
      <c r="K1009" s="10">
        <v>4.4592999999999998</v>
      </c>
      <c r="M1009" s="10">
        <v>4.4982567924528301</v>
      </c>
      <c r="N1009" s="10">
        <v>4.498659423076921</v>
      </c>
      <c r="O1009" s="10">
        <v>4.4714199999999984</v>
      </c>
      <c r="Q1009" s="10">
        <v>4.4054199999999986</v>
      </c>
      <c r="T1009" s="10">
        <v>4.4732026086956509</v>
      </c>
      <c r="U1009" s="10">
        <v>4.4687600000000023</v>
      </c>
      <c r="X1009" s="10">
        <v>4.4512547169811354</v>
      </c>
      <c r="Y1009" s="10">
        <v>4.4593000000000034</v>
      </c>
      <c r="Z1009" s="11" t="str">
        <f t="shared" si="15"/>
        <v/>
      </c>
    </row>
    <row r="1010" spans="1:26" x14ac:dyDescent="0.3">
      <c r="A1010" t="s">
        <v>1009</v>
      </c>
      <c r="B1010" t="s">
        <v>3515</v>
      </c>
      <c r="C1010" t="s">
        <v>3516</v>
      </c>
      <c r="D1010" t="s">
        <v>1014</v>
      </c>
      <c r="E1010" t="s">
        <v>1026</v>
      </c>
      <c r="F1010" t="s">
        <v>1305</v>
      </c>
      <c r="G1010" t="s">
        <v>3517</v>
      </c>
      <c r="H1010" s="13">
        <v>77</v>
      </c>
      <c r="I1010" s="14">
        <v>1148.51</v>
      </c>
      <c r="J1010" t="s">
        <v>1052</v>
      </c>
      <c r="K1010" s="10">
        <v>122.41947</v>
      </c>
      <c r="M1010" s="10">
        <v>72.163253773584941</v>
      </c>
      <c r="N1010" s="10">
        <v>80.505803269230739</v>
      </c>
      <c r="O1010" s="10">
        <v>88.466913653846177</v>
      </c>
      <c r="P1010" s="10">
        <v>105.65056692307699</v>
      </c>
      <c r="Q1010" s="10">
        <v>121.9953246153845</v>
      </c>
      <c r="Z1010" s="11" t="str">
        <f t="shared" si="15"/>
        <v/>
      </c>
    </row>
    <row r="1011" spans="1:26" x14ac:dyDescent="0.3">
      <c r="A1011" t="s">
        <v>1010</v>
      </c>
      <c r="B1011" t="s">
        <v>3518</v>
      </c>
      <c r="C1011" t="s">
        <v>3519</v>
      </c>
      <c r="D1011" t="s">
        <v>1014</v>
      </c>
      <c r="E1011" t="s">
        <v>1026</v>
      </c>
      <c r="F1011" t="s">
        <v>1305</v>
      </c>
      <c r="G1011" t="s">
        <v>3520</v>
      </c>
      <c r="H1011" s="13">
        <v>0</v>
      </c>
      <c r="I1011" s="14">
        <v>0</v>
      </c>
      <c r="J1011" t="s">
        <v>1052</v>
      </c>
      <c r="K1011" s="10">
        <v>634.23749999999995</v>
      </c>
      <c r="P1011" s="10">
        <v>634.23749999999961</v>
      </c>
      <c r="Q1011" s="10">
        <v>634.23749999999984</v>
      </c>
      <c r="Z1011" s="11" t="str">
        <f t="shared" si="15"/>
        <v/>
      </c>
    </row>
    <row r="1012" spans="1:26" x14ac:dyDescent="0.3">
      <c r="A1012" t="s">
        <v>1011</v>
      </c>
      <c r="B1012" t="s">
        <v>3521</v>
      </c>
      <c r="C1012" t="s">
        <v>3522</v>
      </c>
      <c r="D1012" t="s">
        <v>1014</v>
      </c>
      <c r="E1012" t="s">
        <v>1026</v>
      </c>
      <c r="F1012" t="s">
        <v>1305</v>
      </c>
      <c r="G1012" t="s">
        <v>3523</v>
      </c>
      <c r="H1012" s="13">
        <v>0</v>
      </c>
      <c r="I1012" s="14">
        <v>0</v>
      </c>
      <c r="J1012" t="s">
        <v>1061</v>
      </c>
      <c r="K1012" s="10">
        <v>13.366949999999999</v>
      </c>
      <c r="M1012" s="10">
        <v>9.34859943396226</v>
      </c>
      <c r="N1012" s="10">
        <v>10.88072923076923</v>
      </c>
      <c r="O1012" s="10">
        <v>11.659893846153849</v>
      </c>
      <c r="P1012" s="10">
        <v>12.217800384615391</v>
      </c>
      <c r="Q1012" s="10">
        <v>12.71408423076922</v>
      </c>
      <c r="R1012" s="10">
        <v>13.342575384615371</v>
      </c>
      <c r="Z1012" s="11" t="str">
        <f t="shared" si="15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4A3B8"/>
  </sheetPr>
  <dimension ref="A1:V1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8.6640625" customWidth="1"/>
    <col min="2" max="22" width="16.6640625" customWidth="1"/>
  </cols>
  <sheetData>
    <row r="1" spans="1:22" ht="27.6" x14ac:dyDescent="0.3">
      <c r="A1" s="7" t="s">
        <v>3524</v>
      </c>
      <c r="B1" s="15" t="s">
        <v>1013</v>
      </c>
      <c r="C1" s="15" t="s">
        <v>1014</v>
      </c>
      <c r="D1" s="15" t="s">
        <v>1015</v>
      </c>
      <c r="E1" s="15" t="s">
        <v>1016</v>
      </c>
      <c r="F1" s="15" t="s">
        <v>1017</v>
      </c>
      <c r="G1" s="15" t="s">
        <v>1018</v>
      </c>
      <c r="H1" s="15" t="s">
        <v>1019</v>
      </c>
      <c r="I1" s="15" t="s">
        <v>1020</v>
      </c>
      <c r="J1" s="15" t="s">
        <v>1021</v>
      </c>
      <c r="K1" s="15" t="s">
        <v>1022</v>
      </c>
      <c r="L1" s="15" t="s">
        <v>1023</v>
      </c>
      <c r="M1" s="15" t="s">
        <v>1024</v>
      </c>
      <c r="N1" s="15" t="s">
        <v>1025</v>
      </c>
      <c r="O1" s="15" t="s">
        <v>1026</v>
      </c>
      <c r="P1" s="15" t="s">
        <v>1027</v>
      </c>
      <c r="Q1" s="15" t="s">
        <v>1028</v>
      </c>
      <c r="R1" s="15" t="s">
        <v>1029</v>
      </c>
      <c r="S1" s="15" t="s">
        <v>1030</v>
      </c>
      <c r="T1" s="15" t="s">
        <v>1031</v>
      </c>
      <c r="U1" s="15" t="s">
        <v>1032</v>
      </c>
      <c r="V1" s="15" t="s">
        <v>1033</v>
      </c>
    </row>
    <row r="2" spans="1:22" x14ac:dyDescent="0.3">
      <c r="A2" s="16">
        <v>2013</v>
      </c>
      <c r="B2" s="17">
        <v>101.5431852239594</v>
      </c>
      <c r="C2" s="17">
        <v>100.57290201347099</v>
      </c>
      <c r="D2" s="17">
        <v>101.7087405598741</v>
      </c>
      <c r="E2" s="17">
        <v>100.5375923017951</v>
      </c>
      <c r="G2" s="17">
        <v>102.5571543627926</v>
      </c>
      <c r="H2" s="17">
        <v>100.82421801129411</v>
      </c>
      <c r="I2" s="17">
        <v>101.48769324655839</v>
      </c>
      <c r="J2" s="17">
        <v>101.9211699757804</v>
      </c>
      <c r="K2" s="17">
        <v>101.6896387284483</v>
      </c>
      <c r="L2" s="17">
        <v>100.6579188732648</v>
      </c>
      <c r="M2" s="17">
        <v>101.15155480150339</v>
      </c>
      <c r="N2" s="17">
        <v>101.0135558045943</v>
      </c>
      <c r="O2" s="17">
        <v>101.9460018747445</v>
      </c>
      <c r="P2" s="17">
        <v>101.52878623587939</v>
      </c>
      <c r="Q2" s="17">
        <v>101.5900447591262</v>
      </c>
      <c r="R2" s="17">
        <v>101.0685410526572</v>
      </c>
      <c r="S2" s="17">
        <v>101.84061755863389</v>
      </c>
      <c r="T2" s="17">
        <v>99.732070424161066</v>
      </c>
      <c r="U2" s="17">
        <v>101.21303107913209</v>
      </c>
      <c r="V2" s="17">
        <v>100.8390950977671</v>
      </c>
    </row>
    <row r="3" spans="1:22" x14ac:dyDescent="0.3">
      <c r="A3" s="16">
        <v>2014</v>
      </c>
      <c r="B3" s="17">
        <v>106.4076810835725</v>
      </c>
      <c r="C3" s="17">
        <v>109.1374686015003</v>
      </c>
      <c r="D3" s="17">
        <v>105.9453540964879</v>
      </c>
      <c r="E3" s="17">
        <v>108.0782287695969</v>
      </c>
      <c r="G3" s="17">
        <v>106.3900602162558</v>
      </c>
      <c r="H3" s="17">
        <v>97.766077983322916</v>
      </c>
      <c r="I3" s="17">
        <v>109.8251746594173</v>
      </c>
      <c r="J3" s="17">
        <v>126.82851347230979</v>
      </c>
      <c r="K3" s="17">
        <v>108.5621677069003</v>
      </c>
      <c r="L3" s="17">
        <v>100.5856790451229</v>
      </c>
      <c r="M3" s="17">
        <v>97.509537817772681</v>
      </c>
      <c r="N3" s="17">
        <v>103.6988191601356</v>
      </c>
      <c r="O3" s="17">
        <v>106.0443207755844</v>
      </c>
      <c r="P3" s="17">
        <v>104.0511979107403</v>
      </c>
      <c r="Q3" s="17">
        <v>104.44592379686711</v>
      </c>
      <c r="R3" s="17">
        <v>108.6724810484674</v>
      </c>
      <c r="S3" s="17">
        <v>111.0627348186521</v>
      </c>
      <c r="T3" s="17">
        <v>103.6976314511019</v>
      </c>
      <c r="U3" s="17">
        <v>104.77106596563191</v>
      </c>
      <c r="V3" s="17">
        <v>102.571654176769</v>
      </c>
    </row>
    <row r="4" spans="1:22" x14ac:dyDescent="0.3">
      <c r="A4" s="16">
        <v>2015</v>
      </c>
      <c r="B4" s="17">
        <v>107.6209329337928</v>
      </c>
      <c r="C4" s="17">
        <v>124.4890370875884</v>
      </c>
      <c r="D4" s="17">
        <v>105.0799518569271</v>
      </c>
      <c r="E4" s="17">
        <v>117.3909593241619</v>
      </c>
      <c r="G4" s="17">
        <v>104.84454927048979</v>
      </c>
      <c r="H4" s="17">
        <v>97.496964536583377</v>
      </c>
      <c r="I4" s="17">
        <v>115.16674210947519</v>
      </c>
      <c r="J4" s="17">
        <v>145.79816999045309</v>
      </c>
      <c r="K4" s="17">
        <v>107.75391820281931</v>
      </c>
      <c r="L4" s="17">
        <v>92.645609511038018</v>
      </c>
      <c r="M4" s="17">
        <v>90.173077361584419</v>
      </c>
      <c r="N4" s="17">
        <v>108.0355501639048</v>
      </c>
      <c r="O4" s="17">
        <v>104.0515523240737</v>
      </c>
      <c r="P4" s="17">
        <v>99.417084916746035</v>
      </c>
      <c r="Q4" s="17">
        <v>100.7375105807205</v>
      </c>
      <c r="R4" s="17">
        <v>109.8787604520906</v>
      </c>
      <c r="S4" s="17">
        <v>115.0994738225063</v>
      </c>
      <c r="T4" s="17">
        <v>112.8654217281842</v>
      </c>
      <c r="U4" s="17">
        <v>105.2820712169959</v>
      </c>
      <c r="V4" s="17">
        <v>98.879596941586684</v>
      </c>
    </row>
    <row r="5" spans="1:22" x14ac:dyDescent="0.3">
      <c r="A5" s="16">
        <v>2016</v>
      </c>
      <c r="B5" s="17">
        <v>104.06944868831491</v>
      </c>
      <c r="C5" s="17">
        <v>138.2504447616675</v>
      </c>
      <c r="D5" s="17">
        <v>99.490848568596633</v>
      </c>
      <c r="E5" s="17">
        <v>129.33959965742409</v>
      </c>
      <c r="G5" s="17">
        <v>98.352510102918586</v>
      </c>
      <c r="H5" s="17">
        <v>100.756987268434</v>
      </c>
      <c r="I5" s="17">
        <v>114.4717062961016</v>
      </c>
      <c r="J5" s="17">
        <v>140.30027134782199</v>
      </c>
      <c r="K5" s="17">
        <v>98.920461510348289</v>
      </c>
      <c r="L5" s="17">
        <v>83.543952077275392</v>
      </c>
      <c r="M5" s="17">
        <v>80.745659199074353</v>
      </c>
      <c r="N5" s="17">
        <v>109.69245962941849</v>
      </c>
      <c r="O5" s="17">
        <v>96.367289758639899</v>
      </c>
      <c r="P5" s="17">
        <v>92.667492440377586</v>
      </c>
      <c r="Q5" s="17">
        <v>96.382844657420037</v>
      </c>
      <c r="R5" s="17">
        <v>114.7048082074986</v>
      </c>
      <c r="S5" s="17">
        <v>111.848434762457</v>
      </c>
      <c r="T5" s="17">
        <v>122.7800061900806</v>
      </c>
      <c r="U5" s="17">
        <v>102.7528529828954</v>
      </c>
      <c r="V5" s="17">
        <v>75.950420356495144</v>
      </c>
    </row>
    <row r="6" spans="1:22" x14ac:dyDescent="0.3">
      <c r="A6" s="16">
        <v>2017</v>
      </c>
      <c r="B6" s="17">
        <v>92.841266045436157</v>
      </c>
      <c r="C6" s="17">
        <v>148.86883037600191</v>
      </c>
      <c r="D6" s="17">
        <v>86.607538988000371</v>
      </c>
      <c r="E6" s="17">
        <v>131.98342453416259</v>
      </c>
      <c r="G6" s="17">
        <v>84.976377006116124</v>
      </c>
      <c r="H6" s="17">
        <v>89.856537215467071</v>
      </c>
      <c r="I6" s="17">
        <v>102.6169697338043</v>
      </c>
      <c r="J6" s="17">
        <v>127.96580635941341</v>
      </c>
      <c r="K6" s="17">
        <v>87.419640887335959</v>
      </c>
      <c r="L6" s="17">
        <v>66.76394817860475</v>
      </c>
      <c r="M6" s="17">
        <v>72.939724648843949</v>
      </c>
      <c r="N6" s="17">
        <v>97.564419332649777</v>
      </c>
      <c r="O6" s="17">
        <v>82.250737244300581</v>
      </c>
      <c r="P6" s="17">
        <v>79.413054392007112</v>
      </c>
      <c r="Q6" s="17">
        <v>86.061565037245614</v>
      </c>
      <c r="R6" s="17">
        <v>106.3186379883396</v>
      </c>
      <c r="S6" s="17">
        <v>99.738701846378774</v>
      </c>
      <c r="T6" s="17">
        <v>129.4382063887108</v>
      </c>
      <c r="U6" s="17">
        <v>92.164084030622647</v>
      </c>
      <c r="V6" s="17">
        <v>60.003615339067601</v>
      </c>
    </row>
    <row r="7" spans="1:22" x14ac:dyDescent="0.3">
      <c r="A7" s="16">
        <v>2018</v>
      </c>
      <c r="B7" s="17">
        <v>82.113563171566838</v>
      </c>
      <c r="C7" s="17">
        <v>157.84480217469479</v>
      </c>
      <c r="D7" s="17">
        <v>74.946737192034718</v>
      </c>
      <c r="E7" s="17">
        <v>133.34589083161171</v>
      </c>
      <c r="G7" s="17">
        <v>74.399787664527523</v>
      </c>
      <c r="H7" s="17">
        <v>80.613713907426288</v>
      </c>
      <c r="I7" s="17">
        <v>91.187373214227065</v>
      </c>
      <c r="J7" s="17">
        <v>111.1644435033907</v>
      </c>
      <c r="K7" s="17">
        <v>77.593790514166429</v>
      </c>
      <c r="L7" s="17">
        <v>46.788615074838958</v>
      </c>
      <c r="M7" s="17">
        <v>66.563843401894289</v>
      </c>
      <c r="N7" s="17">
        <v>89.408755950283762</v>
      </c>
      <c r="O7" s="17">
        <v>69.849119853276122</v>
      </c>
      <c r="P7" s="17">
        <v>67.646811184618215</v>
      </c>
      <c r="Q7" s="17">
        <v>71.332208686420088</v>
      </c>
      <c r="R7" s="17">
        <v>96.320063668101341</v>
      </c>
      <c r="S7" s="17">
        <v>89.591854689183322</v>
      </c>
      <c r="T7" s="17">
        <v>136.18544176386959</v>
      </c>
      <c r="U7" s="17">
        <v>80.424159532259338</v>
      </c>
      <c r="V7" s="17">
        <v>44.604753532980773</v>
      </c>
    </row>
    <row r="8" spans="1:22" x14ac:dyDescent="0.3">
      <c r="A8" s="16">
        <v>2019</v>
      </c>
      <c r="B8" s="17">
        <v>76.725396784632338</v>
      </c>
      <c r="C8" s="17">
        <v>164.3342196583724</v>
      </c>
      <c r="D8" s="17">
        <v>69.166732874453402</v>
      </c>
      <c r="E8" s="17">
        <v>137.24531328526939</v>
      </c>
      <c r="G8" s="17">
        <v>73.290407251680165</v>
      </c>
      <c r="H8" s="17">
        <v>78.716915291831569</v>
      </c>
      <c r="I8" s="17">
        <v>83.227735170113633</v>
      </c>
      <c r="J8" s="17">
        <v>91.12966199593501</v>
      </c>
      <c r="K8" s="17">
        <v>71.179216910557571</v>
      </c>
      <c r="L8" s="17">
        <v>33.359806878420777</v>
      </c>
      <c r="M8" s="17">
        <v>64.671480859604756</v>
      </c>
      <c r="N8" s="17">
        <v>85.945921751078629</v>
      </c>
      <c r="O8" s="17">
        <v>61.613972823724517</v>
      </c>
      <c r="P8" s="17">
        <v>62.316978357366771</v>
      </c>
      <c r="Q8" s="17">
        <v>58.134387455978747</v>
      </c>
      <c r="R8" s="17">
        <v>96.608163666145458</v>
      </c>
      <c r="S8" s="17">
        <v>84.653870653993295</v>
      </c>
      <c r="T8" s="17">
        <v>140.4049733679341</v>
      </c>
      <c r="U8" s="17">
        <v>71.87833732384027</v>
      </c>
      <c r="V8" s="17">
        <v>32.407200109311667</v>
      </c>
    </row>
    <row r="9" spans="1:22" x14ac:dyDescent="0.3">
      <c r="A9" s="16">
        <v>2020</v>
      </c>
      <c r="B9" s="17">
        <v>74.434160300918947</v>
      </c>
      <c r="C9" s="17">
        <v>169.12040693901849</v>
      </c>
      <c r="D9" s="17">
        <v>66.71609757297621</v>
      </c>
      <c r="E9" s="17">
        <v>147.09383659308401</v>
      </c>
      <c r="G9" s="17">
        <v>75.01239135188392</v>
      </c>
      <c r="H9" s="17">
        <v>79.825337580034656</v>
      </c>
      <c r="I9" s="17">
        <v>78.716921845680787</v>
      </c>
      <c r="J9" s="17">
        <v>84.844388714002719</v>
      </c>
      <c r="K9" s="17">
        <v>69.268887444810431</v>
      </c>
      <c r="L9" s="17">
        <v>29.79499055366945</v>
      </c>
      <c r="M9" s="17">
        <v>67.572085013120628</v>
      </c>
      <c r="N9" s="17">
        <v>84.764149057409</v>
      </c>
      <c r="O9" s="17">
        <v>58.2802626485487</v>
      </c>
      <c r="P9" s="17">
        <v>58.847159169936788</v>
      </c>
      <c r="Q9" s="17">
        <v>50.772629089993607</v>
      </c>
      <c r="R9" s="17">
        <v>97.245872141365567</v>
      </c>
      <c r="S9" s="17">
        <v>85.385733983024409</v>
      </c>
      <c r="T9" s="17">
        <v>144.57058513578451</v>
      </c>
      <c r="U9" s="17">
        <v>67.570766934309972</v>
      </c>
      <c r="V9" s="17">
        <v>26.106445147145681</v>
      </c>
    </row>
    <row r="10" spans="1:22" x14ac:dyDescent="0.3">
      <c r="A10" s="16">
        <v>2021</v>
      </c>
      <c r="B10" s="17">
        <v>67.793729239264053</v>
      </c>
      <c r="C10" s="17">
        <v>173.9668720841245</v>
      </c>
      <c r="D10" s="17">
        <v>60.148967766761963</v>
      </c>
      <c r="E10" s="17">
        <v>144.5883494962286</v>
      </c>
      <c r="G10" s="17">
        <v>67.178358879880165</v>
      </c>
      <c r="H10" s="17">
        <v>79.699756434565401</v>
      </c>
      <c r="I10" s="17">
        <v>70.560071261535981</v>
      </c>
      <c r="J10" s="17">
        <v>80.300542380170114</v>
      </c>
      <c r="K10" s="17">
        <v>67.161379949635844</v>
      </c>
      <c r="L10" s="17">
        <v>28.259324532515841</v>
      </c>
      <c r="M10" s="17">
        <v>66.673882973255147</v>
      </c>
      <c r="N10" s="17">
        <v>76.108648151838295</v>
      </c>
      <c r="O10" s="17">
        <v>53.761406460413482</v>
      </c>
      <c r="P10" s="17">
        <v>52.577002038635293</v>
      </c>
      <c r="Q10" s="17">
        <v>39.462727670860659</v>
      </c>
      <c r="R10" s="17">
        <v>87.971499313798446</v>
      </c>
      <c r="S10" s="17">
        <v>80.924840153411793</v>
      </c>
      <c r="T10" s="17">
        <v>149.96517567893059</v>
      </c>
      <c r="U10" s="17">
        <v>63.572212123962409</v>
      </c>
      <c r="V10" s="17">
        <v>18.706283474532299</v>
      </c>
    </row>
    <row r="11" spans="1:22" x14ac:dyDescent="0.3">
      <c r="A11" s="16">
        <v>2022</v>
      </c>
      <c r="B11" s="17">
        <v>59.840677844051257</v>
      </c>
      <c r="C11" s="17">
        <v>179.59514650247709</v>
      </c>
      <c r="D11" s="17">
        <v>52.460191424992217</v>
      </c>
      <c r="E11" s="17">
        <v>139.2156186212971</v>
      </c>
      <c r="F11" s="17">
        <v>100</v>
      </c>
      <c r="G11" s="17">
        <v>58.63127827657167</v>
      </c>
      <c r="H11" s="17">
        <v>72.751368700016471</v>
      </c>
      <c r="I11" s="17">
        <v>57.966303932214913</v>
      </c>
      <c r="J11" s="17">
        <v>70.03299881921177</v>
      </c>
      <c r="K11" s="17">
        <v>61.988416683193833</v>
      </c>
      <c r="L11" s="17">
        <v>22.814332521547829</v>
      </c>
      <c r="M11" s="17">
        <v>62.237263394531922</v>
      </c>
      <c r="N11" s="17">
        <v>66.157785295698957</v>
      </c>
      <c r="O11" s="17">
        <v>47.313294987692593</v>
      </c>
      <c r="P11" s="17">
        <v>45.617066031128743</v>
      </c>
      <c r="Q11" s="17">
        <v>33.058170124419902</v>
      </c>
      <c r="R11" s="17">
        <v>75.073625810135397</v>
      </c>
      <c r="S11" s="17">
        <v>77.190089700180451</v>
      </c>
      <c r="T11" s="17">
        <v>155.7961739781764</v>
      </c>
      <c r="U11" s="17">
        <v>56.761852896514249</v>
      </c>
      <c r="V11" s="17">
        <v>14.614510847993451</v>
      </c>
    </row>
    <row r="12" spans="1:22" x14ac:dyDescent="0.3">
      <c r="A12" s="16">
        <v>2023</v>
      </c>
      <c r="B12" s="17">
        <v>54.352072916315187</v>
      </c>
      <c r="C12" s="17">
        <v>185.91533076522779</v>
      </c>
      <c r="D12" s="17">
        <v>47.202458195174707</v>
      </c>
      <c r="E12" s="17">
        <v>133.48144750788211</v>
      </c>
      <c r="F12" s="17">
        <v>100.5385449376181</v>
      </c>
      <c r="G12" s="17">
        <v>52.529554857856091</v>
      </c>
      <c r="H12" s="17">
        <v>68.638790668300615</v>
      </c>
      <c r="I12" s="17">
        <v>49.581336598748123</v>
      </c>
      <c r="J12" s="17">
        <v>56.584111524153229</v>
      </c>
      <c r="K12" s="17">
        <v>58.480184337178713</v>
      </c>
      <c r="L12" s="17">
        <v>21.308768905893299</v>
      </c>
      <c r="M12" s="17">
        <v>60.11529367342029</v>
      </c>
      <c r="N12" s="17">
        <v>57.538221002400633</v>
      </c>
      <c r="O12" s="17">
        <v>43.408477499057398</v>
      </c>
      <c r="P12" s="17">
        <v>40.765430762697669</v>
      </c>
      <c r="Q12" s="17">
        <v>27.06500572351824</v>
      </c>
      <c r="R12" s="17">
        <v>67.207567238283744</v>
      </c>
      <c r="S12" s="17">
        <v>77.00587862839221</v>
      </c>
      <c r="T12" s="17">
        <v>164.7157242160286</v>
      </c>
      <c r="U12" s="17">
        <v>52.625036383804677</v>
      </c>
      <c r="V12" s="17">
        <v>12.074212952817881</v>
      </c>
    </row>
    <row r="13" spans="1:22" x14ac:dyDescent="0.3">
      <c r="A13" s="16">
        <v>2024</v>
      </c>
      <c r="B13" s="17">
        <v>48.357002073968793</v>
      </c>
      <c r="C13" s="17">
        <v>183.61466364302751</v>
      </c>
      <c r="D13" s="17">
        <v>41.709857511458729</v>
      </c>
      <c r="E13" s="17">
        <v>138.45014942444919</v>
      </c>
      <c r="F13" s="17">
        <v>100.4957767298489</v>
      </c>
      <c r="G13" s="17">
        <v>46.605591059294753</v>
      </c>
      <c r="H13" s="17">
        <v>59.506260560844602</v>
      </c>
      <c r="I13" s="17">
        <v>41.731991975247617</v>
      </c>
      <c r="J13" s="17">
        <v>47.55465627747143</v>
      </c>
      <c r="K13" s="17">
        <v>53.825939098234286</v>
      </c>
      <c r="L13" s="17">
        <v>18.687782651208671</v>
      </c>
      <c r="M13" s="17">
        <v>53.317157197840849</v>
      </c>
      <c r="N13" s="17">
        <v>49.618797550782169</v>
      </c>
      <c r="O13" s="17">
        <v>38.635033212093347</v>
      </c>
      <c r="P13" s="17">
        <v>35.960737885371849</v>
      </c>
      <c r="Q13" s="17">
        <v>23.517180849027149</v>
      </c>
      <c r="R13" s="17">
        <v>57.192136627774318</v>
      </c>
      <c r="S13" s="17">
        <v>72.512894673862235</v>
      </c>
      <c r="T13" s="17">
        <v>169.23252007372329</v>
      </c>
      <c r="U13" s="17">
        <v>48.310492137808019</v>
      </c>
      <c r="V13" s="17">
        <v>9.9993653349304221</v>
      </c>
    </row>
    <row r="14" spans="1:22" x14ac:dyDescent="0.3">
      <c r="A14" s="16">
        <v>2025</v>
      </c>
      <c r="B14" s="17">
        <v>46.293991975756512</v>
      </c>
      <c r="C14" s="17">
        <v>185.49574440042451</v>
      </c>
      <c r="D14" s="17">
        <v>39.775625719566499</v>
      </c>
      <c r="E14" s="17">
        <v>134.4554042259046</v>
      </c>
      <c r="F14" s="17">
        <v>99.439951545673225</v>
      </c>
      <c r="G14" s="17">
        <v>43.957863397513457</v>
      </c>
      <c r="H14" s="17">
        <v>57.845484640479917</v>
      </c>
      <c r="I14" s="17">
        <v>40.886075086932621</v>
      </c>
      <c r="J14" s="17">
        <v>42.432111991511341</v>
      </c>
      <c r="K14" s="17">
        <v>51.85302865411046</v>
      </c>
      <c r="L14" s="17">
        <v>18.449480132101531</v>
      </c>
      <c r="M14" s="17">
        <v>48.811375453491742</v>
      </c>
      <c r="N14" s="17">
        <v>47.36519482277955</v>
      </c>
      <c r="O14" s="17">
        <v>36.60864371467656</v>
      </c>
      <c r="P14" s="17">
        <v>34.771853426598057</v>
      </c>
      <c r="Q14" s="17">
        <v>23.541776119761071</v>
      </c>
      <c r="R14" s="17">
        <v>51.454599348557828</v>
      </c>
      <c r="S14" s="17">
        <v>70.568191215757906</v>
      </c>
      <c r="T14" s="17">
        <v>173.44546817451089</v>
      </c>
      <c r="U14" s="17">
        <v>46.2618521864675</v>
      </c>
      <c r="V14" s="17">
        <v>9.208180719540378</v>
      </c>
    </row>
    <row r="15" spans="1:22" x14ac:dyDescent="0.3">
      <c r="A15" s="16">
        <v>2026</v>
      </c>
      <c r="B15" s="17">
        <v>42.671161514590729</v>
      </c>
      <c r="C15" s="17">
        <v>185.11786957148621</v>
      </c>
      <c r="D15" s="17">
        <v>36.398150767085362</v>
      </c>
      <c r="E15" s="17">
        <v>143.74807660824041</v>
      </c>
      <c r="F15" s="17">
        <v>100.13242507300281</v>
      </c>
      <c r="G15" s="17">
        <v>40.140496267566121</v>
      </c>
      <c r="H15" s="17">
        <v>53.194342356445489</v>
      </c>
      <c r="I15" s="17">
        <v>38.539964852988369</v>
      </c>
      <c r="J15" s="17">
        <v>34.548329016805077</v>
      </c>
      <c r="K15" s="17">
        <v>49.048025982299201</v>
      </c>
      <c r="L15" s="17">
        <v>16.499766546288591</v>
      </c>
      <c r="M15" s="17">
        <v>45.987364203863933</v>
      </c>
      <c r="N15" s="17">
        <v>43.746656658726153</v>
      </c>
      <c r="O15" s="17">
        <v>34.157553468420048</v>
      </c>
      <c r="P15" s="17">
        <v>31.768798744161931</v>
      </c>
      <c r="Q15" s="17">
        <v>19.22700238429508</v>
      </c>
      <c r="R15" s="17">
        <v>48.934245503594482</v>
      </c>
      <c r="S15" s="17">
        <v>67.138196081022656</v>
      </c>
      <c r="T15" s="17">
        <v>178.72604272569811</v>
      </c>
      <c r="U15" s="17">
        <v>43.112071360499677</v>
      </c>
      <c r="V15" s="17">
        <v>8.3770020715658156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4A3B8"/>
  </sheetPr>
  <dimension ref="A1:G1012"/>
  <sheetViews>
    <sheetView showGridLines="0" workbookViewId="0"/>
  </sheetViews>
  <sheetFormatPr defaultRowHeight="14.4" x14ac:dyDescent="0.3"/>
  <cols>
    <col min="1" max="1" width="60.6640625" customWidth="1"/>
    <col min="3" max="7" width="30.6640625" customWidth="1"/>
  </cols>
  <sheetData>
    <row r="1" spans="1:7" x14ac:dyDescent="0.3">
      <c r="A1" s="7" t="s">
        <v>0</v>
      </c>
      <c r="C1" s="7" t="s">
        <v>1012</v>
      </c>
      <c r="E1" s="7" t="s">
        <v>1034</v>
      </c>
      <c r="G1" s="7" t="s">
        <v>1035</v>
      </c>
    </row>
    <row r="2" spans="1:7" x14ac:dyDescent="0.3">
      <c r="A2" t="s">
        <v>1</v>
      </c>
      <c r="C2" t="s">
        <v>1013</v>
      </c>
      <c r="E2">
        <v>2014</v>
      </c>
      <c r="G2">
        <v>2015</v>
      </c>
    </row>
    <row r="3" spans="1:7" x14ac:dyDescent="0.3">
      <c r="A3" t="s">
        <v>2</v>
      </c>
      <c r="C3" t="s">
        <v>1014</v>
      </c>
      <c r="E3">
        <v>2015</v>
      </c>
      <c r="G3">
        <v>2016</v>
      </c>
    </row>
    <row r="4" spans="1:7" x14ac:dyDescent="0.3">
      <c r="A4" t="s">
        <v>3</v>
      </c>
      <c r="C4" t="s">
        <v>1015</v>
      </c>
      <c r="E4">
        <v>2016</v>
      </c>
      <c r="G4">
        <v>2017</v>
      </c>
    </row>
    <row r="5" spans="1:7" x14ac:dyDescent="0.3">
      <c r="A5" t="s">
        <v>4</v>
      </c>
      <c r="C5" t="s">
        <v>1016</v>
      </c>
      <c r="E5">
        <v>2017</v>
      </c>
      <c r="G5">
        <v>2018</v>
      </c>
    </row>
    <row r="6" spans="1:7" x14ac:dyDescent="0.3">
      <c r="A6" t="s">
        <v>5</v>
      </c>
      <c r="C6" t="s">
        <v>1017</v>
      </c>
      <c r="E6">
        <v>2018</v>
      </c>
      <c r="G6">
        <v>2019</v>
      </c>
    </row>
    <row r="7" spans="1:7" x14ac:dyDescent="0.3">
      <c r="A7" t="s">
        <v>6</v>
      </c>
      <c r="C7" t="s">
        <v>1018</v>
      </c>
      <c r="E7">
        <v>2019</v>
      </c>
      <c r="G7">
        <v>2020</v>
      </c>
    </row>
    <row r="8" spans="1:7" x14ac:dyDescent="0.3">
      <c r="A8" t="s">
        <v>7</v>
      </c>
      <c r="C8" t="s">
        <v>1019</v>
      </c>
      <c r="E8">
        <v>2020</v>
      </c>
      <c r="G8">
        <v>2021</v>
      </c>
    </row>
    <row r="9" spans="1:7" x14ac:dyDescent="0.3">
      <c r="A9" t="s">
        <v>8</v>
      </c>
      <c r="C9" t="s">
        <v>1020</v>
      </c>
      <c r="E9">
        <v>2021</v>
      </c>
      <c r="G9">
        <v>2022</v>
      </c>
    </row>
    <row r="10" spans="1:7" x14ac:dyDescent="0.3">
      <c r="A10" t="s">
        <v>9</v>
      </c>
      <c r="C10" t="s">
        <v>1021</v>
      </c>
      <c r="E10">
        <v>2022</v>
      </c>
      <c r="G10">
        <v>2023</v>
      </c>
    </row>
    <row r="11" spans="1:7" x14ac:dyDescent="0.3">
      <c r="A11" t="s">
        <v>10</v>
      </c>
      <c r="C11" t="s">
        <v>1022</v>
      </c>
      <c r="E11">
        <v>2023</v>
      </c>
      <c r="G11">
        <v>2024</v>
      </c>
    </row>
    <row r="12" spans="1:7" x14ac:dyDescent="0.3">
      <c r="A12" t="s">
        <v>11</v>
      </c>
      <c r="C12" t="s">
        <v>1023</v>
      </c>
      <c r="E12">
        <v>2024</v>
      </c>
      <c r="G12">
        <v>2025</v>
      </c>
    </row>
    <row r="13" spans="1:7" x14ac:dyDescent="0.3">
      <c r="A13" t="s">
        <v>12</v>
      </c>
      <c r="C13" t="s">
        <v>1024</v>
      </c>
      <c r="E13">
        <v>2025</v>
      </c>
      <c r="G13">
        <v>2026</v>
      </c>
    </row>
    <row r="14" spans="1:7" x14ac:dyDescent="0.3">
      <c r="A14" t="s">
        <v>13</v>
      </c>
      <c r="C14" t="s">
        <v>1025</v>
      </c>
    </row>
    <row r="15" spans="1:7" x14ac:dyDescent="0.3">
      <c r="A15" t="s">
        <v>14</v>
      </c>
      <c r="C15" t="s">
        <v>1026</v>
      </c>
    </row>
    <row r="16" spans="1:7" x14ac:dyDescent="0.3">
      <c r="A16" t="s">
        <v>15</v>
      </c>
      <c r="C16" t="s">
        <v>1027</v>
      </c>
    </row>
    <row r="17" spans="1:3" x14ac:dyDescent="0.3">
      <c r="A17" t="s">
        <v>16</v>
      </c>
      <c r="C17" t="s">
        <v>1028</v>
      </c>
    </row>
    <row r="18" spans="1:3" x14ac:dyDescent="0.3">
      <c r="A18" t="s">
        <v>17</v>
      </c>
      <c r="C18" t="s">
        <v>1029</v>
      </c>
    </row>
    <row r="19" spans="1:3" x14ac:dyDescent="0.3">
      <c r="A19" t="s">
        <v>18</v>
      </c>
      <c r="C19" t="s">
        <v>1030</v>
      </c>
    </row>
    <row r="20" spans="1:3" x14ac:dyDescent="0.3">
      <c r="A20" t="s">
        <v>19</v>
      </c>
      <c r="C20" t="s">
        <v>1031</v>
      </c>
    </row>
    <row r="21" spans="1:3" x14ac:dyDescent="0.3">
      <c r="A21" t="s">
        <v>20</v>
      </c>
      <c r="C21" t="s">
        <v>1032</v>
      </c>
    </row>
    <row r="22" spans="1:3" x14ac:dyDescent="0.3">
      <c r="A22" t="s">
        <v>21</v>
      </c>
      <c r="C22" t="s">
        <v>1033</v>
      </c>
    </row>
    <row r="23" spans="1:3" x14ac:dyDescent="0.3">
      <c r="A23" t="s">
        <v>22</v>
      </c>
    </row>
    <row r="24" spans="1:3" x14ac:dyDescent="0.3">
      <c r="A24" t="s">
        <v>23</v>
      </c>
    </row>
    <row r="25" spans="1:3" x14ac:dyDescent="0.3">
      <c r="A25" t="s">
        <v>24</v>
      </c>
    </row>
    <row r="26" spans="1:3" x14ac:dyDescent="0.3">
      <c r="A26" t="s">
        <v>25</v>
      </c>
    </row>
    <row r="27" spans="1:3" x14ac:dyDescent="0.3">
      <c r="A27" t="s">
        <v>26</v>
      </c>
    </row>
    <row r="28" spans="1:3" x14ac:dyDescent="0.3">
      <c r="A28" t="s">
        <v>27</v>
      </c>
    </row>
    <row r="29" spans="1:3" x14ac:dyDescent="0.3">
      <c r="A29" t="s">
        <v>28</v>
      </c>
    </row>
    <row r="30" spans="1:3" x14ac:dyDescent="0.3">
      <c r="A30" t="s">
        <v>29</v>
      </c>
    </row>
    <row r="31" spans="1:3" x14ac:dyDescent="0.3">
      <c r="A31" t="s">
        <v>30</v>
      </c>
    </row>
    <row r="32" spans="1:3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26</vt:i4>
      </vt:variant>
    </vt:vector>
  </HeadingPairs>
  <TitlesOfParts>
    <vt:vector size="34" baseType="lpstr">
      <vt:lpstr>Read me</vt:lpstr>
      <vt:lpstr>Inputs</vt:lpstr>
      <vt:lpstr>Tracker</vt:lpstr>
      <vt:lpstr>Entry scenario</vt:lpstr>
      <vt:lpstr>Checks</vt:lpstr>
      <vt:lpstr>Products</vt:lpstr>
      <vt:lpstr>Class index</vt:lpstr>
      <vt:lpstr>Lists</vt:lpstr>
      <vt:lpstr>BaseYear</vt:lpstr>
      <vt:lpstr>c_groups</vt:lpstr>
      <vt:lpstr>c_idx</vt:lpstr>
      <vt:lpstr>c_years</vt:lpstr>
      <vt:lpstr>Compare</vt:lpstr>
      <vt:lpstr>EndYear</vt:lpstr>
      <vt:lpstr>Keep4</vt:lpstr>
      <vt:lpstr>Keep8</vt:lpstr>
      <vt:lpstr>Move4</vt:lpstr>
      <vt:lpstr>Move8</vt:lpstr>
      <vt:lpstr>p_area</vt:lpstr>
      <vt:lpstr>p_change</vt:lpstr>
      <vt:lpstr>p_desc</vt:lpstr>
      <vt:lpstr>p_family</vt:lpstr>
      <vt:lpstr>p_label</vt:lpstr>
      <vt:lpstr>p_latest</vt:lpstr>
      <vt:lpstr>p_ndc</vt:lpstr>
      <vt:lpstr>p_owner</vt:lpstr>
      <vt:lpstr>p_prices</vt:lpstr>
      <vt:lpstr>p_segment</vt:lpstr>
      <vt:lpstr>p_spend</vt:lpstr>
      <vt:lpstr>p_unit</vt:lpstr>
      <vt:lpstr>p_units</vt:lpstr>
      <vt:lpstr>p_years</vt:lpstr>
      <vt:lpstr>ProdRow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 Tracker</dc:title>
  <dc:creator>Mohammad Uzair Khan</dc:creator>
  <dc:description>Built from public CMS NADAC rates, data to 2026-10-14.</dc:description>
  <cp:lastModifiedBy>Mohammad Uzair Khan</cp:lastModifiedBy>
  <dcterms:created xsi:type="dcterms:W3CDTF">2026-10-16T08:23:13Z</dcterms:created>
  <dcterms:modified xsi:type="dcterms:W3CDTF">2026-10-16T08:23:14Z</dcterms:modified>
</cp:coreProperties>
</file>